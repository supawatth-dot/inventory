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herrenknecht.sharepoint.com/sites/HAT-IT/Freigegebene Dokumente/HAT-IT-Asset inventory/Backup_Oat/"/>
    </mc:Choice>
  </mc:AlternateContent>
  <xr:revisionPtr revIDLastSave="51" documentId="14_{DD9A1A56-0D98-46D7-924C-12F55E9CC2F8}" xr6:coauthVersionLast="47" xr6:coauthVersionMax="47" xr10:uidLastSave="{7A52AB19-88D3-4E6D-B6F2-FF2FF7724282}"/>
  <bookViews>
    <workbookView minimized="1" xWindow="390" yWindow="390" windowWidth="21600" windowHeight="11295" tabRatio="784" xr2:uid="{C055CCF0-D2E1-49F5-AE2C-768355718DC2}"/>
  </bookViews>
  <sheets>
    <sheet name="Sheet1" sheetId="24" r:id="rId1"/>
    <sheet name="Laptop_List" sheetId="1" r:id="rId2"/>
    <sheet name="Printer" sheetId="18" r:id="rId3"/>
    <sheet name="costcenter" sheetId="17" r:id="rId4"/>
    <sheet name="Monitor_List" sheetId="2" r:id="rId5"/>
    <sheet name="SAP_Account" sheetId="23" r:id="rId6"/>
    <sheet name="Assesory_other" sheetId="14" r:id="rId7"/>
    <sheet name="MS-TEAM Number" sheetId="19" r:id="rId8"/>
  </sheets>
  <definedNames>
    <definedName name="_xlnm._FilterDatabase" localSheetId="6" hidden="1">Assesory_other!$A$1:$J$48</definedName>
    <definedName name="_xlnm._FilterDatabase" localSheetId="1" hidden="1">Laptop_List!#REF!</definedName>
    <definedName name="_xlnm._FilterDatabase" localSheetId="4" hidden="1">Monitor_List!$A$1:$F$105</definedName>
    <definedName name="_xlnm._FilterDatabase" localSheetId="7" hidden="1">'MS-TEAM Number'!$A$18:$G$72</definedName>
    <definedName name="_xlcn.WorksheetConnection_HAThardware_v3_oat.xlsxTable11" hidden="1">Table1[]</definedName>
    <definedName name="_xlcn.WorksheetConnection_HAThardware_v3_oat.xlsxTable31" hidden="1">Table3</definedName>
    <definedName name="_xlcn.WorksheetConnection_Laptop_List_Nov_24BP1" hidden="1">Laptop_List!$B:$N</definedName>
    <definedName name="_xlnm.Print_Area" localSheetId="1">Laptop_List!$A$107:$L$127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Laptop_List_Nov_24!$B:$P"/>
          <x15:modelTable id="Table1" name="Table1" connection="WorksheetConnection_HAT hardware_v3_oat.xlsx!Table1"/>
          <x15:modelTable id="Table3" name="Table3" connection="WorksheetConnection_HAT hardware_v3_oat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4" l="1"/>
  <c r="C50" i="14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" i="17"/>
  <c r="F73" i="1"/>
  <c r="B4" i="17"/>
  <c r="F98" i="1" l="1"/>
  <c r="F97" i="1"/>
  <c r="F209" i="1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F186" i="1"/>
  <c r="F166" i="1"/>
  <c r="F122" i="1"/>
  <c r="F72" i="1"/>
  <c r="F175" i="1"/>
  <c r="F173" i="1"/>
  <c r="F128" i="1"/>
  <c r="F143" i="1"/>
  <c r="F184" i="1"/>
  <c r="F183" i="1"/>
  <c r="F17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Schießle, Kai</author>
  </authors>
  <commentList>
    <comment ref="C114" authorId="0" shapeId="0" xr:uid="{D2A3C7DC-0220-4910-A21C-7F8796A78245}">
      <text>
        <r>
          <rPr>
            <b/>
            <sz val="9"/>
            <color indexed="81"/>
            <rFont val="Segoe UI"/>
            <family val="2"/>
          </rPr>
          <t>Schießle, Kai:</t>
        </r>
        <r>
          <rPr>
            <sz val="9"/>
            <color indexed="81"/>
            <rFont val="Segoe UI"/>
            <family val="2"/>
          </rPr>
          <t xml:space="preserve">
JJ container office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2537BB-3840-4AEB-BFF5-DE32D6AD8BC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BAB5660-D9E3-4BDC-B08A-319BC2725FC6}" name="WorksheetConnection_HAT hardware_v3_oa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HAThardware_v3_oat.xlsxTable11"/>
        </x15:connection>
      </ext>
    </extLst>
  </connection>
  <connection id="3" xr16:uid="{3430BD70-2CF6-4830-82EB-B7333ABB848F}" name="WorksheetConnection_HAT hardware_v3_oat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HAThardware_v3_oat.xlsxTable31"/>
        </x15:connection>
      </ext>
    </extLst>
  </connection>
  <connection id="4" xr16:uid="{86A3042C-5D73-44C1-A3AC-A9E1941B1368}" name="WorksheetConnection_Laptop_List_Nov_24!$B:$P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Laptop_List_Nov_24BP1"/>
        </x15:connection>
      </ext>
    </extLst>
  </connection>
</connections>
</file>

<file path=xl/sharedStrings.xml><?xml version="1.0" encoding="utf-8"?>
<sst xmlns="http://schemas.openxmlformats.org/spreadsheetml/2006/main" count="3467" uniqueCount="1398">
  <si>
    <t>Department</t>
  </si>
  <si>
    <t>Grand Total</t>
  </si>
  <si>
    <t>computername</t>
  </si>
  <si>
    <t>Employee</t>
  </si>
  <si>
    <t xml:space="preserve"> User Name</t>
  </si>
  <si>
    <t>LOCATION/MAC Address:</t>
  </si>
  <si>
    <t>TYPE</t>
  </si>
  <si>
    <t>Description</t>
  </si>
  <si>
    <t>PO</t>
  </si>
  <si>
    <t>Tax IV</t>
  </si>
  <si>
    <t>Purchase Date: mm/yy</t>
  </si>
  <si>
    <t>replacement mm/yy</t>
  </si>
  <si>
    <t>Comment / Status</t>
  </si>
  <si>
    <t>BKKLAP046</t>
  </si>
  <si>
    <t>Penn, Bernd</t>
  </si>
  <si>
    <t>PENNB</t>
  </si>
  <si>
    <t>602101002-SALES</t>
  </si>
  <si>
    <t>CS-18-001</t>
  </si>
  <si>
    <t>LAPTOP</t>
  </si>
  <si>
    <t>HP EliteBook 840 G3</t>
  </si>
  <si>
    <t>5CG8080YF6</t>
  </si>
  <si>
    <t>P18-092</t>
  </si>
  <si>
    <t>BKKLAP052</t>
  </si>
  <si>
    <t>Rajasa, Vega</t>
  </si>
  <si>
    <t>RAJASAV</t>
  </si>
  <si>
    <t>CS-18-020</t>
  </si>
  <si>
    <t>HP EliteBook 840 G5</t>
  </si>
  <si>
    <t>5CG839634D</t>
  </si>
  <si>
    <t>P18-703</t>
  </si>
  <si>
    <t>Vega moved his Laptop to HKI</t>
  </si>
  <si>
    <t>BKKLAP067</t>
  </si>
  <si>
    <t>Hayes, Ben</t>
  </si>
  <si>
    <t>HAYESB</t>
  </si>
  <si>
    <t>ITE-21-015</t>
  </si>
  <si>
    <t>HP Probook 640 G8</t>
  </si>
  <si>
    <t>5CD141BD56</t>
  </si>
  <si>
    <t>BKKLAP076</t>
  </si>
  <si>
    <t xml:space="preserve">Wilson, Grant </t>
  </si>
  <si>
    <t>WILSONG</t>
  </si>
  <si>
    <t>ITE-22-023</t>
  </si>
  <si>
    <t xml:space="preserve">5CD2287TPR </t>
  </si>
  <si>
    <t>BKKLAP081</t>
  </si>
  <si>
    <t>Dantrakoon, Sopon</t>
  </si>
  <si>
    <t>DANTRAKS</t>
  </si>
  <si>
    <t>ITE-23-003</t>
  </si>
  <si>
    <t>HP Probook 640 G9</t>
  </si>
  <si>
    <t>5CD30449LS</t>
  </si>
  <si>
    <t>BKKLAP087</t>
  </si>
  <si>
    <t>Boonphan, Vuttinan</t>
  </si>
  <si>
    <t>BOONPHAV</t>
  </si>
  <si>
    <t>ITE-23-009</t>
  </si>
  <si>
    <t>5CD30449LN</t>
  </si>
  <si>
    <t>change 11.08.2023 (Ott take with it to BKK)</t>
  </si>
  <si>
    <t>BKKLAP094</t>
  </si>
  <si>
    <t>Prokhorov, Vladimir</t>
  </si>
  <si>
    <t>PROKHORV</t>
  </si>
  <si>
    <t>ITE-23-021</t>
  </si>
  <si>
    <t>5CD321GZ2R</t>
  </si>
  <si>
    <t>BKKLAP114</t>
  </si>
  <si>
    <t>Paul Hutchinson</t>
  </si>
  <si>
    <t>HutchinP</t>
  </si>
  <si>
    <t>1000001087  ITE-25-017</t>
  </si>
  <si>
    <t>F8EDFC6952B4</t>
  </si>
  <si>
    <t>HP Elitbook 645 G11</t>
  </si>
  <si>
    <t>5CD5228NPV</t>
  </si>
  <si>
    <t>IT68070164</t>
  </si>
  <si>
    <t>BKKPH001</t>
  </si>
  <si>
    <t>Mobile</t>
  </si>
  <si>
    <t>Apple xxx</t>
  </si>
  <si>
    <t>BKKPH002</t>
  </si>
  <si>
    <t>Vuttinan BOONPHAN</t>
  </si>
  <si>
    <t>ITE-22-029//1000000731</t>
  </si>
  <si>
    <t>Samsung Samsung galaxy A53 5G -</t>
  </si>
  <si>
    <t>BKKPH008</t>
  </si>
  <si>
    <t>ITE-22-031//1000000762</t>
  </si>
  <si>
    <t>Samsung Samsung galaxy A53</t>
  </si>
  <si>
    <t>BKKPOI001</t>
  </si>
  <si>
    <t>hk\s_workshop_drawing_v</t>
  </si>
  <si>
    <t>602104021-WORKSHOP MGM</t>
  </si>
  <si>
    <t>ITE-20-007</t>
  </si>
  <si>
    <t>WORKSHOP</t>
  </si>
  <si>
    <t>Desktop</t>
  </si>
  <si>
    <t>CS-18-003</t>
  </si>
  <si>
    <t>Ben</t>
  </si>
  <si>
    <t>Monitor</t>
  </si>
  <si>
    <t>Mornitor Dell P2417H 24" - Ben</t>
  </si>
  <si>
    <t>CS-19-004</t>
  </si>
  <si>
    <t>garnt</t>
  </si>
  <si>
    <t>Garnt (Office sales BKK)</t>
  </si>
  <si>
    <t>DELL 24 Monitor P2419H 23.8" - Garnt (Office sales BKK)</t>
  </si>
  <si>
    <t>CS-19-018</t>
  </si>
  <si>
    <t xml:space="preserve">Monitor Dell P2419H 23.8"  - Garnt (Office sales BKK) </t>
  </si>
  <si>
    <t xml:space="preserve">ITE-24-026
</t>
  </si>
  <si>
    <t>Wukson  Grant</t>
  </si>
  <si>
    <t>DELL 24'' MONITOR P2425H - Wukson  Grant</t>
  </si>
  <si>
    <t>BKKLAP056</t>
  </si>
  <si>
    <t xml:space="preserve">Vikorn Apirakwong </t>
  </si>
  <si>
    <t>APIRAKWV</t>
  </si>
  <si>
    <t>CS-19-008</t>
  </si>
  <si>
    <t>apirakwv</t>
  </si>
  <si>
    <t>5CG91564XZ</t>
  </si>
  <si>
    <t>P19-347</t>
  </si>
  <si>
    <t>handover to JJ (07.08.2023)</t>
  </si>
  <si>
    <t>BKKLAP061</t>
  </si>
  <si>
    <t>John, Juergen</t>
  </si>
  <si>
    <t>JOHNJUE</t>
  </si>
  <si>
    <t>ITE-20-006</t>
  </si>
  <si>
    <t>HP Probook 640 G5</t>
  </si>
  <si>
    <t>5CG0182Q5T</t>
  </si>
  <si>
    <t>BKKLAP062</t>
  </si>
  <si>
    <t>Nattaphon Safee-e</t>
  </si>
  <si>
    <t>Safeen</t>
  </si>
  <si>
    <t>ITE-20-003</t>
  </si>
  <si>
    <t>QHSE</t>
  </si>
  <si>
    <t>5CG0182Q5R</t>
  </si>
  <si>
    <t>BKKLAP063</t>
  </si>
  <si>
    <t>Ladpho, Sgt.Chuanchid</t>
  </si>
  <si>
    <t>ladphos</t>
  </si>
  <si>
    <t>ITE-20-005</t>
  </si>
  <si>
    <t>5CG0182Q5Q</t>
  </si>
  <si>
    <t>BKKLAP065</t>
  </si>
  <si>
    <t>Ponsing, Prapoj</t>
  </si>
  <si>
    <t>PONSINGP</t>
  </si>
  <si>
    <t>ITE-21-001</t>
  </si>
  <si>
    <t>old Vladimir</t>
  </si>
  <si>
    <t>5CG0524M4Q</t>
  </si>
  <si>
    <t>changed on 04.10.2024 (See Mail from Joy)</t>
  </si>
  <si>
    <t>BKKLAP083</t>
  </si>
  <si>
    <t>ITE-23-005</t>
  </si>
  <si>
    <t>5CD30449LW</t>
  </si>
  <si>
    <t>BKKLAP095</t>
  </si>
  <si>
    <t>Chayanan Rattanarojjanathum</t>
  </si>
  <si>
    <t>Rattanac</t>
  </si>
  <si>
    <t>ITE-24-007</t>
  </si>
  <si>
    <t>5CD4160Y27</t>
  </si>
  <si>
    <t>BKKLAP102</t>
  </si>
  <si>
    <t>Atit Khuntee</t>
  </si>
  <si>
    <t>ITE-24-029</t>
  </si>
  <si>
    <t>HP Elitbook 645G11</t>
  </si>
  <si>
    <t xml:space="preserve">5CD4467F9C </t>
  </si>
  <si>
    <t>BKKFPG008</t>
  </si>
  <si>
    <t>Kampun, Anupong</t>
  </si>
  <si>
    <t>1000001100  ITE-25-021</t>
  </si>
  <si>
    <t>LAPTOP-FPG</t>
  </si>
  <si>
    <t>HP Fury 16 G11 Base NB PC : MAC: F8EDFCB4F7AE</t>
  </si>
  <si>
    <t>5CG52531BL</t>
  </si>
  <si>
    <t>IT68070166</t>
  </si>
  <si>
    <t>BKKCPY001</t>
  </si>
  <si>
    <t>Printer</t>
  </si>
  <si>
    <t>MAIN OFFICE</t>
  </si>
  <si>
    <t>602408002-FACILITIES / HR</t>
  </si>
  <si>
    <t>1000000089</t>
  </si>
  <si>
    <t>PRINTER</t>
  </si>
  <si>
    <t>Konica BH C258</t>
  </si>
  <si>
    <t>A7R0047006082</t>
  </si>
  <si>
    <t>P18-531</t>
  </si>
  <si>
    <t>CS-18-009#1000000089</t>
  </si>
  <si>
    <t>BKKLAP004</t>
  </si>
  <si>
    <t>loetzer, Sebastia</t>
  </si>
  <si>
    <t>LOETZERS</t>
  </si>
  <si>
    <t>602105001-PROJECT MGM</t>
  </si>
  <si>
    <t>CS-18-011</t>
  </si>
  <si>
    <t>5CG0490L4T</t>
  </si>
  <si>
    <t>NA</t>
  </si>
  <si>
    <t>02/21</t>
  </si>
  <si>
    <t>ITE-24-025/BSRNK34</t>
  </si>
  <si>
    <t>DELL 24'' MONITOR P2425H - Workshop</t>
  </si>
  <si>
    <t>ITE-25-016                             </t>
  </si>
  <si>
    <t xml:space="preserve">1000001085                     </t>
  </si>
  <si>
    <t>CS-19-022</t>
  </si>
  <si>
    <t>DELL 24 Monitor P2419H 23.8" - John</t>
  </si>
  <si>
    <t>CS-19-024</t>
  </si>
  <si>
    <t>DELL 24 Monitor P2419H 23.8" - Jürgen John</t>
  </si>
  <si>
    <t>ITE-22-011</t>
  </si>
  <si>
    <t>LadphoS</t>
  </si>
  <si>
    <t>DELL 24 Monitor P2422H  - Mavin</t>
  </si>
  <si>
    <t>ITE-22-014</t>
  </si>
  <si>
    <t>ITE-21-027</t>
  </si>
  <si>
    <t>Prapoj</t>
  </si>
  <si>
    <t>DELL 24 Monitor P2422H  - Prapoj</t>
  </si>
  <si>
    <t>ITE-24-018</t>
  </si>
  <si>
    <t xml:space="preserve"> Chayanan Rattanarojjanathum</t>
  </si>
  <si>
    <t xml:space="preserve">DELL 24'' MONITOR P2425H - Work shop </t>
  </si>
  <si>
    <t>ITE-24-019</t>
  </si>
  <si>
    <t>DELL 24'' MONITOR P2425H - Work shop</t>
  </si>
  <si>
    <t>ITE-25-014                                      </t>
  </si>
  <si>
    <t>Safee-e, Nattaphon</t>
  </si>
  <si>
    <t xml:space="preserve">1000001083                 </t>
  </si>
  <si>
    <t>DELL 24'' MONITOR P2425H-workshop-Nattaphon</t>
  </si>
  <si>
    <t xml:space="preserve">ITE-25-015                                     </t>
  </si>
  <si>
    <t xml:space="preserve">1000001084   </t>
  </si>
  <si>
    <t>CS-18-007</t>
  </si>
  <si>
    <t>DELL 24 Monitor P2417H 23.8"  CS-18-003</t>
  </si>
  <si>
    <t>ITE-20-012</t>
  </si>
  <si>
    <t>DELL 24 Monitor P2419H 23.8 Inch -  Sitthinual, Peeraya</t>
  </si>
  <si>
    <t>ITE-24-006</t>
  </si>
  <si>
    <t>Vikork Workshop</t>
  </si>
  <si>
    <t>DELL Professional Monitor P2422H - Vikork Workshop</t>
  </si>
  <si>
    <t>BKKLAP068</t>
  </si>
  <si>
    <t>Phoophanporn.Natthawimon</t>
  </si>
  <si>
    <t>Phoophan</t>
  </si>
  <si>
    <t>ITE-21-014</t>
  </si>
  <si>
    <t>PROJECT</t>
  </si>
  <si>
    <t>5CD141BD55</t>
  </si>
  <si>
    <t>BKKLAP073</t>
  </si>
  <si>
    <t xml:space="preserve">Chattranusorn, Piyachat </t>
  </si>
  <si>
    <t>CHATTRAP</t>
  </si>
  <si>
    <t>ITE-22-003</t>
  </si>
  <si>
    <t>5CD2026SR7</t>
  </si>
  <si>
    <t>BKKLAP084</t>
  </si>
  <si>
    <t xml:space="preserve">Thanakhang, Jaruwit </t>
  </si>
  <si>
    <t>THANAKHJ</t>
  </si>
  <si>
    <t>ITE-23-006</t>
  </si>
  <si>
    <t>5CD30449LR</t>
  </si>
  <si>
    <t>BKKLAP100</t>
  </si>
  <si>
    <t>PANNAWAT MUKPROM</t>
  </si>
  <si>
    <t>MukpromP</t>
  </si>
  <si>
    <t>ITE-24-024</t>
  </si>
  <si>
    <t>HP Zbook Power16 G11</t>
  </si>
  <si>
    <t>5CD443BT8S</t>
  </si>
  <si>
    <t>BKKPH006</t>
  </si>
  <si>
    <t>Chattranusorn, Piyachat</t>
  </si>
  <si>
    <t>ITE-21-009//1000000380</t>
  </si>
  <si>
    <t>Samsung Samsung Galaxy A32 8/128,</t>
  </si>
  <si>
    <t>BKKFPG001</t>
  </si>
  <si>
    <t>Schrickel, Ralf / SCHRICKR / 00002693</t>
  </si>
  <si>
    <t>SCHRICKR</t>
  </si>
  <si>
    <t>602106001-FS MANAGEMENT</t>
  </si>
  <si>
    <t>SIMATIC Field PG M5</t>
  </si>
  <si>
    <t>H8958585</t>
  </si>
  <si>
    <t>moved to NZ 06/2023</t>
  </si>
  <si>
    <t>Ralf moved his Laptop to HNZ</t>
  </si>
  <si>
    <t>CS-20-013</t>
  </si>
  <si>
    <t>Thanakhang, Jaruwit</t>
  </si>
  <si>
    <t>Jaruwit</t>
  </si>
  <si>
    <t>DELL 24 Monitor P2419H 23.8 - Jaruwit</t>
  </si>
  <si>
    <t>ITE-22-016</t>
  </si>
  <si>
    <t>DELL 24 Monitor P2422H 23.8 - Jaruwit</t>
  </si>
  <si>
    <t>ITE-24-020</t>
  </si>
  <si>
    <t>Pannawat</t>
  </si>
  <si>
    <t>DELL 24'' MONITOR P2425H - Pannawat</t>
  </si>
  <si>
    <t>ITE-24-021</t>
  </si>
  <si>
    <t>CS-20-011</t>
  </si>
  <si>
    <t>Phoophanporn, Natthawimon</t>
  </si>
  <si>
    <t>DELL 24 Monitor P2419H 23.8 Phoophanporn, Natthawimon</t>
  </si>
  <si>
    <t>CS-20-012</t>
  </si>
  <si>
    <t>DELL 24 Monitor P2419H 23.8 ; Phoophanporn, Natthawimon</t>
  </si>
  <si>
    <t>ITE-21-006</t>
  </si>
  <si>
    <t>Pond</t>
  </si>
  <si>
    <t>DELL 24 Professional  Monitor P2419H 23.8 Inch - Pond</t>
  </si>
  <si>
    <t>ITE-21-007</t>
  </si>
  <si>
    <t>BKKLAP071</t>
  </si>
  <si>
    <t>OLD-HUTCHINP</t>
  </si>
  <si>
    <t>ITE-21-016</t>
  </si>
  <si>
    <t>HUTCHINP</t>
  </si>
  <si>
    <t>5CD141BD53</t>
  </si>
  <si>
    <t>BKKFPG003</t>
  </si>
  <si>
    <t>Doyle, Adam</t>
  </si>
  <si>
    <t>DOYLEA</t>
  </si>
  <si>
    <t>602106002-FS PERSONNEL</t>
  </si>
  <si>
    <t>5CG9100N9M</t>
  </si>
  <si>
    <t>P19-309</t>
  </si>
  <si>
    <t>Adam moved his Laptop to HNZ</t>
  </si>
  <si>
    <t>BKKFPG004</t>
  </si>
  <si>
    <t>Service general</t>
  </si>
  <si>
    <t>Sebustiain</t>
  </si>
  <si>
    <t>CS-17-004</t>
  </si>
  <si>
    <t xml:space="preserve">HP Elitebook840G3 -I5-6300U </t>
  </si>
  <si>
    <t>check by oat belong at Sebastian</t>
  </si>
  <si>
    <t>BKKFPG005</t>
  </si>
  <si>
    <t>Pankeaw, Woraman</t>
  </si>
  <si>
    <t>PANKEAWW</t>
  </si>
  <si>
    <t>602106003-FS PERSONNEL (LOCAL)</t>
  </si>
  <si>
    <t>ITE-23-022</t>
  </si>
  <si>
    <t xml:space="preserve">HP EliteBook 640 G10 UMA i7-1355U </t>
  </si>
  <si>
    <t>5CD3225T6G</t>
  </si>
  <si>
    <t>spare in Server room (21.12.2023)</t>
  </si>
  <si>
    <t>BKKFPG006</t>
  </si>
  <si>
    <t>Santu Biswas</t>
  </si>
  <si>
    <t>ITE-23-023</t>
  </si>
  <si>
    <t>5CD3225T6H</t>
  </si>
  <si>
    <t>BKKFPG007</t>
  </si>
  <si>
    <t>BiswasSa</t>
  </si>
  <si>
    <t>1000001072   ITE-25-003                                                      </t>
  </si>
  <si>
    <t>HP Fury 16 G11</t>
  </si>
  <si>
    <t>5CG5222Q15</t>
  </si>
  <si>
    <t>IT68070165</t>
  </si>
  <si>
    <t>BKKLAP047</t>
  </si>
  <si>
    <t>Kaewkongjan, Eakkarat</t>
  </si>
  <si>
    <t>Eakkarat</t>
  </si>
  <si>
    <t>CS-18-002</t>
  </si>
  <si>
    <t>KEAWKONJ</t>
  </si>
  <si>
    <t>5GC8080YF7</t>
  </si>
  <si>
    <t>P18-105</t>
  </si>
  <si>
    <t>BKKLAP057</t>
  </si>
  <si>
    <t>Chueachang, Suphachai</t>
  </si>
  <si>
    <t xml:space="preserve">CHUEACHS </t>
  </si>
  <si>
    <t>CS-19-009</t>
  </si>
  <si>
    <t>5CG91564YN</t>
  </si>
  <si>
    <t>BKKLAP058</t>
  </si>
  <si>
    <t>Kaewkongjan, Eakkarat-Reture IT&gt;</t>
  </si>
  <si>
    <t>KAEWKONE</t>
  </si>
  <si>
    <t>CS-19-010</t>
  </si>
  <si>
    <t>5CG91564ZG</t>
  </si>
  <si>
    <t>BKKLAP059</t>
  </si>
  <si>
    <t>Pongsuwan, Natthaphol</t>
  </si>
  <si>
    <t>PONGSUWN</t>
  </si>
  <si>
    <t>CS-19-011</t>
  </si>
  <si>
    <t>5CG91564ZW</t>
  </si>
  <si>
    <t>BKKLAP060</t>
  </si>
  <si>
    <t xml:space="preserve">Promra, Chayaphon </t>
  </si>
  <si>
    <t>PROMRAC</t>
  </si>
  <si>
    <t>CS-19-014</t>
  </si>
  <si>
    <t>5CG91859DP</t>
  </si>
  <si>
    <t>BKKLAP066</t>
  </si>
  <si>
    <t>Jiravallop, Chanoknunt</t>
  </si>
  <si>
    <t>JIRAVALC</t>
  </si>
  <si>
    <t>ITE-21-018</t>
  </si>
  <si>
    <t>5CD141BD52</t>
  </si>
  <si>
    <t>BKKLAP069</t>
  </si>
  <si>
    <t>Curley, Benjamaporn</t>
  </si>
  <si>
    <t>CURLEYB</t>
  </si>
  <si>
    <t>ITE-21-017</t>
  </si>
  <si>
    <t>5CD141BD54</t>
  </si>
  <si>
    <t>BKKPH013</t>
  </si>
  <si>
    <t>Samsung Samsung A305F S/N: 356970107232708 ID: White</t>
  </si>
  <si>
    <t>BKKPH014</t>
  </si>
  <si>
    <t>Elison, Volker-Dietmar</t>
  </si>
  <si>
    <t>Samsung Samsung galaxy A33</t>
  </si>
  <si>
    <t>BKKPH021</t>
  </si>
  <si>
    <t>Adam Doyle</t>
  </si>
  <si>
    <t>OE-18-016//1000000123</t>
  </si>
  <si>
    <t>Samsung Samsung A305F S/N: 35697010638316</t>
  </si>
  <si>
    <t>BKKLAP072</t>
  </si>
  <si>
    <t xml:space="preserve">Mahadphrom, Sittichai </t>
  </si>
  <si>
    <t>MAHADPHS</t>
  </si>
  <si>
    <t>ITE-22-004</t>
  </si>
  <si>
    <t>5CD2026SR6</t>
  </si>
  <si>
    <t>BKKLAP098</t>
  </si>
  <si>
    <t>ITE-24-010</t>
  </si>
  <si>
    <t xml:space="preserve">HP EliteBook 640 G10 </t>
  </si>
  <si>
    <t>5CD4160Y25</t>
  </si>
  <si>
    <t>office HR - IT cabinet (05.09.2024)</t>
  </si>
  <si>
    <t>BKKLAP106</t>
  </si>
  <si>
    <t xml:space="preserve">1000001073   ITE-25-004                                                       </t>
  </si>
  <si>
    <t>5CD5228NP2</t>
  </si>
  <si>
    <t>BKKLAP107</t>
  </si>
  <si>
    <t>Watcharakorn Bunrak</t>
  </si>
  <si>
    <t>BunrakW</t>
  </si>
  <si>
    <t>1000001074   ITE-25-005                                             </t>
  </si>
  <si>
    <t>5CD5228NPR</t>
  </si>
  <si>
    <t>BKKLAP108</t>
  </si>
  <si>
    <t>thammarak.isara</t>
  </si>
  <si>
    <t>1000001075   ITE-25-006                                                   </t>
  </si>
  <si>
    <t>5CD5228NPS</t>
  </si>
  <si>
    <t>BKKLAP109</t>
  </si>
  <si>
    <t>1000001076   ITE-25-007                                          </t>
  </si>
  <si>
    <t>5CD5228NQ1</t>
  </si>
  <si>
    <t>BKKLAP110</t>
  </si>
  <si>
    <t>1000001077   ITE-25-008                                                      </t>
  </si>
  <si>
    <t>5CD5228NQ2</t>
  </si>
  <si>
    <t>BKKLAP111</t>
  </si>
  <si>
    <t>Promra, Chayaphon</t>
  </si>
  <si>
    <t>1000001078   ITE-25-009                                                    </t>
  </si>
  <si>
    <t>5CD5228NPT</t>
  </si>
  <si>
    <t>BKKLAP112</t>
  </si>
  <si>
    <t>1000001079   ITE-25-010                                                     </t>
  </si>
  <si>
    <t>5CD5228NQ0</t>
  </si>
  <si>
    <t>BKKLAP113</t>
  </si>
  <si>
    <t>1000001080   ITE-25-011                                 </t>
  </si>
  <si>
    <t>5CD5228NQ3</t>
  </si>
  <si>
    <t>BKKPH022</t>
  </si>
  <si>
    <t>ITE-21-003//1000000361</t>
  </si>
  <si>
    <t>Samsung Samsung A32 128 GB</t>
  </si>
  <si>
    <t>BKKLAP080</t>
  </si>
  <si>
    <t xml:space="preserve"> Nurrulphittri Thamrongsab</t>
  </si>
  <si>
    <t>Nurrulphittri Thamrongsab</t>
  </si>
  <si>
    <t>602403001-PURCHASING</t>
  </si>
  <si>
    <t>ITE-23-012</t>
  </si>
  <si>
    <t>5CD30449LL</t>
  </si>
  <si>
    <t>Curley Benjamaporn</t>
  </si>
  <si>
    <t>DELL 24 Monitor P2419H 23.8" - Curley Benjamaporn</t>
  </si>
  <si>
    <t>CS-19-021</t>
  </si>
  <si>
    <t>CS-19-025</t>
  </si>
  <si>
    <t xml:space="preserve">Jiravallop, Chanoknunt </t>
  </si>
  <si>
    <t>Jan</t>
  </si>
  <si>
    <t>DELL 24 Monitor P2419H 23.8" - Jan</t>
  </si>
  <si>
    <t>CS-19-026</t>
  </si>
  <si>
    <t>CS-20-014</t>
  </si>
  <si>
    <t>Sebastian</t>
  </si>
  <si>
    <t>DELL 24 Monitor P2419H 23.8 - Sebastian</t>
  </si>
  <si>
    <t>CS-20-022</t>
  </si>
  <si>
    <t>ITE-23-032</t>
  </si>
  <si>
    <t>Santu</t>
  </si>
  <si>
    <t>Dell Professional Monitor - P2422H  - Santu</t>
  </si>
  <si>
    <t>ITE-23-037</t>
  </si>
  <si>
    <t>ITE-24-022</t>
  </si>
  <si>
    <t>Mulic  contianer office 2nd floor</t>
  </si>
  <si>
    <t>DELL 24'' MONITOR P2425H - Mulic  contianer office 2nd floor</t>
  </si>
  <si>
    <t>ITE-24-023</t>
  </si>
  <si>
    <t>BKKLAP085</t>
  </si>
  <si>
    <t xml:space="preserve">Yotee, Pimlada </t>
  </si>
  <si>
    <t>YOTEEP</t>
  </si>
  <si>
    <t>ITE-23-007</t>
  </si>
  <si>
    <t>YOOTEP</t>
  </si>
  <si>
    <t>5CD30449LM</t>
  </si>
  <si>
    <t>BKKLAP086</t>
  </si>
  <si>
    <t>WATTHANACHAI KONGKAEW</t>
  </si>
  <si>
    <t>KONGKAEW</t>
  </si>
  <si>
    <t>ITE-23-008</t>
  </si>
  <si>
    <t>5CD30449LV</t>
  </si>
  <si>
    <t>BKKLAP099</t>
  </si>
  <si>
    <t>Jiramet Markphan</t>
  </si>
  <si>
    <t>ITE-24-011</t>
  </si>
  <si>
    <t>saeaewc</t>
  </si>
  <si>
    <t>5CD4160Y24</t>
  </si>
  <si>
    <t>BKKPH010</t>
  </si>
  <si>
    <t>ITE-23-041//1000000913</t>
  </si>
  <si>
    <t>Samsung Samsung A345G 8/256</t>
  </si>
  <si>
    <t>BKKPH015</t>
  </si>
  <si>
    <t>ITE-22-028//1000000706</t>
  </si>
  <si>
    <t>BKKPH016</t>
  </si>
  <si>
    <t>ITE-23-042//1000000914</t>
  </si>
  <si>
    <t>Samsung Samsung galaxy A34</t>
  </si>
  <si>
    <t>BKKLAP049</t>
  </si>
  <si>
    <t>Imsaiad, Janjira</t>
  </si>
  <si>
    <t>ImsaiadJ</t>
  </si>
  <si>
    <t>602403003-LOGISTIC &amp; CUSTOMS</t>
  </si>
  <si>
    <t>CS-18-012</t>
  </si>
  <si>
    <t>5CG8354SJF</t>
  </si>
  <si>
    <t>P18-560</t>
  </si>
  <si>
    <t>CS-20-008</t>
  </si>
  <si>
    <t>DELL 24 Monitor P2419H 23.8 - Pimlada Yatee</t>
  </si>
  <si>
    <t>CS-20-020</t>
  </si>
  <si>
    <t>DELL 24 Monitor P2419H 23.8  - Pimlada Yatee</t>
  </si>
  <si>
    <t>ITE-21-024</t>
  </si>
  <si>
    <t>DELL 24 Monitor P2422H  - Purchasing -Kanokporn</t>
  </si>
  <si>
    <t>ITE-21-025</t>
  </si>
  <si>
    <t>DELL 24 Monitor P2422H  -  Purchasing -Kanokporn</t>
  </si>
  <si>
    <t>ITE-21-026</t>
  </si>
  <si>
    <t xml:space="preserve">DELL 24 Monitor P2422H  -Jiramate </t>
  </si>
  <si>
    <t>ITE-22-013</t>
  </si>
  <si>
    <t xml:space="preserve">DELL 24 Monitor P2422H  - Jiramate </t>
  </si>
  <si>
    <t>ITE-22-017</t>
  </si>
  <si>
    <t>Watthanachai Purchase</t>
  </si>
  <si>
    <t>DELL 24 Monitor P2422H - Watthanachai Purchase</t>
  </si>
  <si>
    <t>ITE-24-005</t>
  </si>
  <si>
    <t>Watthanachai Purchasing</t>
  </si>
  <si>
    <t>DELL Professional Monitor P2422H - Watthanachai Purchasing</t>
  </si>
  <si>
    <t>BKKLAP053</t>
  </si>
  <si>
    <t>WATCHARAPORN SAIMAT</t>
  </si>
  <si>
    <t>SAIMATWA</t>
  </si>
  <si>
    <t>CS-19-019</t>
  </si>
  <si>
    <t>5CG8526N3S</t>
  </si>
  <si>
    <t>P18-963</t>
  </si>
  <si>
    <t>BKKLAP055</t>
  </si>
  <si>
    <t>Phinyapat Baotham</t>
  </si>
  <si>
    <t>BAOTHAMP</t>
  </si>
  <si>
    <t>CS-19-020</t>
  </si>
  <si>
    <t>5CG9100N99</t>
  </si>
  <si>
    <t>P19-169</t>
  </si>
  <si>
    <t>returned 16.01.2024 to server room</t>
  </si>
  <si>
    <t>BKKLAP064</t>
  </si>
  <si>
    <t>Thanyathon Ruttanakul / 18805</t>
  </si>
  <si>
    <t>RUTTANTH</t>
  </si>
  <si>
    <t>ITE-20-004</t>
  </si>
  <si>
    <t>5CG0182Q5S</t>
  </si>
  <si>
    <t>BKKLAP070</t>
  </si>
  <si>
    <t>Kraiwas, Wachirawit</t>
  </si>
  <si>
    <t>KRAIWASW</t>
  </si>
  <si>
    <t>ITE-21-019</t>
  </si>
  <si>
    <t>5CD141BD51</t>
  </si>
  <si>
    <t>BKKLAP077</t>
  </si>
  <si>
    <t>Hommaen, Kanda</t>
  </si>
  <si>
    <t xml:space="preserve">HOMMAENK </t>
  </si>
  <si>
    <t>ITE-22-022</t>
  </si>
  <si>
    <t>5CD2287TPP</t>
  </si>
  <si>
    <t>BKKLAP078</t>
  </si>
  <si>
    <t xml:space="preserve">Pittakhu, Tanawut </t>
  </si>
  <si>
    <t>PITTAKHT</t>
  </si>
  <si>
    <t>ITE-22-024</t>
  </si>
  <si>
    <t>5CD2287TPS</t>
  </si>
  <si>
    <t>BKKLAP082</t>
  </si>
  <si>
    <t xml:space="preserve">Chandee, Ekapun </t>
  </si>
  <si>
    <t>CHANDEEE</t>
  </si>
  <si>
    <t>ITE-23-004</t>
  </si>
  <si>
    <t>5CD30449LQ</t>
  </si>
  <si>
    <t>BKKCPY002</t>
  </si>
  <si>
    <t>WAREHOUSE-SRAP-ทำลาย</t>
  </si>
  <si>
    <t>1000000402</t>
  </si>
  <si>
    <t>WAREHOUSE</t>
  </si>
  <si>
    <t>HP Color LaserJet Pro MFP M479fdw</t>
  </si>
  <si>
    <t>CNCRP8N64Q</t>
  </si>
  <si>
    <t>TE-21-013#1000000402</t>
  </si>
  <si>
    <t>BKKCPY004</t>
  </si>
  <si>
    <t>WAREHOUSE No.2</t>
  </si>
  <si>
    <t>CNCRP8N5DB</t>
  </si>
  <si>
    <t>ITE-22-006#'1000000505</t>
  </si>
  <si>
    <t>BKKETI001</t>
  </si>
  <si>
    <t>Zebra Zebra ZT230</t>
  </si>
  <si>
    <t>1000000095</t>
  </si>
  <si>
    <t/>
  </si>
  <si>
    <t>Zebra ZT230</t>
  </si>
  <si>
    <t>52J181600049</t>
  </si>
  <si>
    <t>BKKETI002</t>
  </si>
  <si>
    <t>Zebra Zebra ZT410</t>
  </si>
  <si>
    <t>1000000276</t>
  </si>
  <si>
    <t>00074D964CD6</t>
  </si>
  <si>
    <t>Zebra ZT410</t>
  </si>
  <si>
    <t>BKKLAP048</t>
  </si>
  <si>
    <t>Avaliable</t>
  </si>
  <si>
    <t>602408001-IT ADMINISTRATION</t>
  </si>
  <si>
    <t>CS-19-028</t>
  </si>
  <si>
    <t>SAEAEWC</t>
  </si>
  <si>
    <t>5CG8354SJP</t>
  </si>
  <si>
    <t>P18-558</t>
  </si>
  <si>
    <t>CS-19-003</t>
  </si>
  <si>
    <t>DELL 24 Monitor P2419H 23.8" - Tae</t>
  </si>
  <si>
    <t>CS-20-006</t>
  </si>
  <si>
    <t>DELL 24 Monitor P2419H 23.8 - Tae</t>
  </si>
  <si>
    <t>CS-19-005</t>
  </si>
  <si>
    <t>DELL 24 Monitor P2419H 23.8" - Janjira -WH</t>
  </si>
  <si>
    <t>ITE-20-017</t>
  </si>
  <si>
    <t>DELL 24 Monitor P2419H 23.8 Inch - Janjira-WH</t>
  </si>
  <si>
    <t>CS-20-003</t>
  </si>
  <si>
    <t>DELL 24 Monitor P2419H 23.8 - Phinyapat WH</t>
  </si>
  <si>
    <t>ITE-24-002</t>
  </si>
  <si>
    <t>DELL Professional Monitor P2422H - Phinyapat WH</t>
  </si>
  <si>
    <t>CS-18-004</t>
  </si>
  <si>
    <t>Saimat, Watcharaporn</t>
  </si>
  <si>
    <t>DELL 24 Monitor P2417H 23.8" - Warehouse (Tik)</t>
  </si>
  <si>
    <t>ITE-25-013                           </t>
  </si>
  <si>
    <t xml:space="preserve">1000001082                            </t>
  </si>
  <si>
    <t>DELL 24'' MONITOR P2425H</t>
  </si>
  <si>
    <t>ITE-22-008</t>
  </si>
  <si>
    <t>DELL 24 Monitor P2422H  - Thanawut WH</t>
  </si>
  <si>
    <t>ITE-22-009</t>
  </si>
  <si>
    <t>CS-20-004</t>
  </si>
  <si>
    <t xml:space="preserve">Thanyathon Ruttanakul </t>
  </si>
  <si>
    <t>DELL 24 Monitor P2419H 23.8 - Tuk WH</t>
  </si>
  <si>
    <t>ITE-23-001</t>
  </si>
  <si>
    <t xml:space="preserve">DELL 24 Monitor P2422H  - Warehouse (Nick) </t>
  </si>
  <si>
    <t>ITE-23-002</t>
  </si>
  <si>
    <t>SPARE: IT Cabinet</t>
  </si>
  <si>
    <t>CS-18-016</t>
  </si>
  <si>
    <t>HAT</t>
  </si>
  <si>
    <t>5CG83963LT</t>
  </si>
  <si>
    <t>P18-654</t>
  </si>
  <si>
    <t>BKKLAP051</t>
  </si>
  <si>
    <t>SPARE</t>
  </si>
  <si>
    <t>CS-18-015</t>
  </si>
  <si>
    <t>onglertt</t>
  </si>
  <si>
    <t>5CG839634Q</t>
  </si>
  <si>
    <t>P18-701</t>
  </si>
  <si>
    <t>BKKLAP097</t>
  </si>
  <si>
    <t>SUPAWAT THONGYAM</t>
  </si>
  <si>
    <t>THONGYAS</t>
  </si>
  <si>
    <t>ITE-24-009</t>
  </si>
  <si>
    <t>5CD4160Y26</t>
  </si>
  <si>
    <t xml:space="preserve">BKKLAP115 </t>
  </si>
  <si>
    <t>IT</t>
  </si>
  <si>
    <t>1000001090 ITE-25-018</t>
  </si>
  <si>
    <t>F8EDFC6952B5</t>
  </si>
  <si>
    <t>5CD5228NPW</t>
  </si>
  <si>
    <t>BKKLAP116</t>
  </si>
  <si>
    <t>1000001091 ITE-25-019</t>
  </si>
  <si>
    <t>F8EDFC6952B0</t>
  </si>
  <si>
    <t>5CD5228NPX</t>
  </si>
  <si>
    <t>BKKLAP117</t>
  </si>
  <si>
    <t>1000001092 ITE-25-020</t>
  </si>
  <si>
    <t>F8EDFC6952B1</t>
  </si>
  <si>
    <t>5CD5228NPy</t>
  </si>
  <si>
    <t>BKKRTR001</t>
  </si>
  <si>
    <t>Switch network</t>
  </si>
  <si>
    <t>Server Room</t>
  </si>
  <si>
    <t>Network</t>
  </si>
  <si>
    <t>Cisco C892FSP-K9</t>
  </si>
  <si>
    <t>FCZ1925C3FW</t>
  </si>
  <si>
    <t>BKKETI003</t>
  </si>
  <si>
    <t>1000000277</t>
  </si>
  <si>
    <t>00074D964E2A</t>
  </si>
  <si>
    <t>BKKLAP092</t>
  </si>
  <si>
    <t>Thaiyai, Jeeranun</t>
  </si>
  <si>
    <t>ThaiyaiJ</t>
  </si>
  <si>
    <t>ITE-23-019</t>
  </si>
  <si>
    <t>5CD321GZ2T</t>
  </si>
  <si>
    <t>ITE-21-010</t>
  </si>
  <si>
    <t>Supawat IT</t>
  </si>
  <si>
    <t>DELL 24 Professional  Monitor P2422H 23.8 Inch - Supawat IT</t>
  </si>
  <si>
    <t>ITE-21-011</t>
  </si>
  <si>
    <t>BKKLAP096</t>
  </si>
  <si>
    <t>Vongtrirat, Ponpimon</t>
  </si>
  <si>
    <t>VONTRIRP</t>
  </si>
  <si>
    <t>ITE-24-008</t>
  </si>
  <si>
    <t>5CD4160Y28</t>
  </si>
  <si>
    <t>BKKLAP103</t>
  </si>
  <si>
    <t>Sombun Tharadol</t>
  </si>
  <si>
    <t>sombunt thanadol</t>
  </si>
  <si>
    <t>ITE-24-030</t>
  </si>
  <si>
    <t>sombunt</t>
  </si>
  <si>
    <t>5CD4467F9G</t>
  </si>
  <si>
    <t>BKKPH017</t>
  </si>
  <si>
    <t>ITE-21-029//1000000417</t>
  </si>
  <si>
    <t>Samsung Samsung galaxy A30</t>
  </si>
  <si>
    <t>BKKPH026</t>
  </si>
  <si>
    <t>Samsung Samsung Galaxy A32</t>
  </si>
  <si>
    <t>BKKPH027</t>
  </si>
  <si>
    <t>SECURITY</t>
  </si>
  <si>
    <t>OE-20-003//1000000373</t>
  </si>
  <si>
    <t>Samsung Samsung A30</t>
  </si>
  <si>
    <t>BKKPLT001</t>
  </si>
  <si>
    <t>1000000401</t>
  </si>
  <si>
    <t>HP DesignJet T650 36-in</t>
  </si>
  <si>
    <t>CN1973M063</t>
  </si>
  <si>
    <t>ITE-21-012#1000000401</t>
  </si>
  <si>
    <t>BKKPRT001</t>
  </si>
  <si>
    <t>*NOT IN USE* LOST</t>
  </si>
  <si>
    <t>HP LaserJet M506dn</t>
  </si>
  <si>
    <t>PHCHR14467</t>
  </si>
  <si>
    <t>P18-533</t>
  </si>
  <si>
    <t>lost from storage room</t>
  </si>
  <si>
    <t>BKKPRT002</t>
  </si>
  <si>
    <t>HP LaserJet P3015dn</t>
  </si>
  <si>
    <t>VNF3F11233</t>
  </si>
  <si>
    <t>CS-15-001#1000000053</t>
  </si>
  <si>
    <t>BKKPRT003</t>
  </si>
  <si>
    <t>SAKSRICA</t>
  </si>
  <si>
    <t>602409004-FI &amp; CO</t>
  </si>
  <si>
    <t>1000000124</t>
  </si>
  <si>
    <t>ED-OFFICE</t>
  </si>
  <si>
    <t>PHCHQ07337</t>
  </si>
  <si>
    <t>P18-285</t>
  </si>
  <si>
    <t>CS-19-015#1000000124</t>
  </si>
  <si>
    <t>BKKPRT004</t>
  </si>
  <si>
    <t>BOONMAN</t>
  </si>
  <si>
    <t>PHCHQ10200</t>
  </si>
  <si>
    <t>P19-493</t>
  </si>
  <si>
    <t>BKKPRT007</t>
  </si>
  <si>
    <t>SOLD TO CANON Trade-in</t>
  </si>
  <si>
    <t>Konica BH C224</t>
  </si>
  <si>
    <t>need to remove from fixed asset</t>
  </si>
  <si>
    <t>BKKLAP089</t>
  </si>
  <si>
    <t>Udorn Chanta</t>
  </si>
  <si>
    <t>ChantaiU</t>
  </si>
  <si>
    <t>602408004-QHSE</t>
  </si>
  <si>
    <t>ITE-23-011</t>
  </si>
  <si>
    <t>QA MANAGER</t>
  </si>
  <si>
    <t>5CD30449LP</t>
  </si>
  <si>
    <t>CS-18-010</t>
  </si>
  <si>
    <t>DELL 24 Monitor P2419H 23.8" Tharadol HR</t>
  </si>
  <si>
    <t>P' Joy</t>
  </si>
  <si>
    <t>DELL 24 Monitor P2419H 23.8" - P' Joy</t>
  </si>
  <si>
    <t>CS-20-015</t>
  </si>
  <si>
    <t>DELL 24 Monitor P2419H 23.8 - P' Joy</t>
  </si>
  <si>
    <t>ITE-22-020</t>
  </si>
  <si>
    <t>DELL 24 Monitor P2422H -sombunt thanadol</t>
  </si>
  <si>
    <t>ITE-24-003</t>
  </si>
  <si>
    <t>DELL Professional Monitor P2422H - Jeeranan HR</t>
  </si>
  <si>
    <t>ITE-24-004</t>
  </si>
  <si>
    <t>BKKLAP091</t>
  </si>
  <si>
    <t>Pakaphan, Montree</t>
  </si>
  <si>
    <t>PAKAPHAM</t>
  </si>
  <si>
    <t>ITE-23-018</t>
  </si>
  <si>
    <t>5CD321GZ2S</t>
  </si>
  <si>
    <t>BKKLAP101</t>
  </si>
  <si>
    <t>Tantisaraporn, Siriluk</t>
  </si>
  <si>
    <t>TANTISAS</t>
  </si>
  <si>
    <t>ITE-24-028</t>
  </si>
  <si>
    <t>Tantisas</t>
  </si>
  <si>
    <t>5CD4467F9B</t>
  </si>
  <si>
    <t>BKKPH024</t>
  </si>
  <si>
    <t>ITE-24-012//1000000960</t>
  </si>
  <si>
    <t>Samsung Samsung A34 5G/256GB</t>
  </si>
  <si>
    <t>BKKPH025</t>
  </si>
  <si>
    <t>ITE-24-013//1000000961</t>
  </si>
  <si>
    <t>Samsung Samsung A34</t>
  </si>
  <si>
    <t>BKKLAP079</t>
  </si>
  <si>
    <t>Dhanusri, Insupang</t>
  </si>
  <si>
    <t>DHANUSRI</t>
  </si>
  <si>
    <t>602409003-MANAGEMENT &amp; ADMIN</t>
  </si>
  <si>
    <t>ITE-22-025</t>
  </si>
  <si>
    <t>5CD2287TPQ</t>
  </si>
  <si>
    <t>CS-20-005</t>
  </si>
  <si>
    <t>Udorn</t>
  </si>
  <si>
    <t>DELL 24 Monitor P2419H 23.8 - QA MANAGER</t>
  </si>
  <si>
    <t>ITE-23-030</t>
  </si>
  <si>
    <t>Montree QC</t>
  </si>
  <si>
    <t>Dell Professional Monitor - P2422H  - Montree QC</t>
  </si>
  <si>
    <t>ITE-23-031</t>
  </si>
  <si>
    <t>Dell Professional Monitor - P2422H  -Montree QC</t>
  </si>
  <si>
    <t>ITE-23-033</t>
  </si>
  <si>
    <t>Siriluk Safety</t>
  </si>
  <si>
    <t>Dell Professional Monitor - P2422H  - Siriluk Safety</t>
  </si>
  <si>
    <t>ITE-23-036</t>
  </si>
  <si>
    <t>Dell Professional Monitor - P2422H  - Udorn</t>
  </si>
  <si>
    <t>ITE-23-038</t>
  </si>
  <si>
    <t>BKKLAP090</t>
  </si>
  <si>
    <t>Joerg Schwietale</t>
  </si>
  <si>
    <t>ITE-23-017</t>
  </si>
  <si>
    <t>5CD321GZ2P</t>
  </si>
  <si>
    <t>BKKLAP104</t>
  </si>
  <si>
    <t>Onglertpranee, Thanatjee</t>
  </si>
  <si>
    <t>ITE-24-031</t>
  </si>
  <si>
    <t>5CD4467F9F</t>
  </si>
  <si>
    <t>BKKLAP105</t>
  </si>
  <si>
    <t>Pitakum, Kannithi</t>
  </si>
  <si>
    <t>Pitakumk</t>
  </si>
  <si>
    <t>ITE-24-032</t>
  </si>
  <si>
    <t>5CD4467F9D</t>
  </si>
  <si>
    <t>BKKPH003</t>
  </si>
  <si>
    <t>Schwietale, Joerg</t>
  </si>
  <si>
    <t>ITE-21-008//1000000376</t>
  </si>
  <si>
    <t>Samsung Samsung S24 Ultra 5G/256GB</t>
  </si>
  <si>
    <t>BKKPH007</t>
  </si>
  <si>
    <t>Schießle, Kai</t>
  </si>
  <si>
    <t>ITE-23-013//0131000000780</t>
  </si>
  <si>
    <t>Apple IPhone 14_ 128GB</t>
  </si>
  <si>
    <t>BKKPRT008</t>
  </si>
  <si>
    <t>1000000206</t>
  </si>
  <si>
    <t>JOHN OFFICE</t>
  </si>
  <si>
    <t>HP LaserJet M507dn</t>
  </si>
  <si>
    <t>P20-038</t>
  </si>
  <si>
    <t>CS-20-010#1000000206</t>
  </si>
  <si>
    <t>CS-19-016</t>
  </si>
  <si>
    <t>Joerg</t>
  </si>
  <si>
    <t>DELL 24 Monitor P2419H 23.8" - Joerg</t>
  </si>
  <si>
    <t>CS-19-017</t>
  </si>
  <si>
    <t>CS-19-023</t>
  </si>
  <si>
    <t>DELL 24 Monitor P2419H 23.8 - Pitakum, Kannithi</t>
  </si>
  <si>
    <t>ITE-20-013</t>
  </si>
  <si>
    <t>DELL 24 Monitor P2419H 23.8 Inch -  Onglertpranee, Thanatjee</t>
  </si>
  <si>
    <t>ITE-20-018</t>
  </si>
  <si>
    <t>DELL 24 Monitor P2419H 23.8- Pitakum, Kannithi</t>
  </si>
  <si>
    <t>ITE-21-023</t>
  </si>
  <si>
    <t xml:space="preserve">Dhanusri, Insupang </t>
  </si>
  <si>
    <t>ข้างปุ้ย</t>
  </si>
  <si>
    <t>DELL 24 Monitor P2422H  -  Ott</t>
  </si>
  <si>
    <t>ITE-24-001</t>
  </si>
  <si>
    <t>DELL Professional Monitor P2422H - HR-JESS</t>
  </si>
  <si>
    <t>BKKLAP054</t>
  </si>
  <si>
    <t>Classifier - FI Accounting Team</t>
  </si>
  <si>
    <t>general PC</t>
  </si>
  <si>
    <t>5CG8526N3F</t>
  </si>
  <si>
    <t>P19-144</t>
  </si>
  <si>
    <t>BKKLAP074</t>
  </si>
  <si>
    <t>Boonma, Nisarat</t>
  </si>
  <si>
    <t>ITE-22-002</t>
  </si>
  <si>
    <t>5CD2026SR8</t>
  </si>
  <si>
    <t>BKKLAP075</t>
  </si>
  <si>
    <t xml:space="preserve">Fongkarn, Wannisa  </t>
  </si>
  <si>
    <t>FONGKARW</t>
  </si>
  <si>
    <t>ITE-22-001</t>
  </si>
  <si>
    <t>5CD2026SR9</t>
  </si>
  <si>
    <t>BKKLAP088</t>
  </si>
  <si>
    <t>Saksricharoen, Arunya</t>
  </si>
  <si>
    <t>ITE-23-010</t>
  </si>
  <si>
    <t>5CD30449LT</t>
  </si>
  <si>
    <t>BKKLAP093</t>
  </si>
  <si>
    <t>Kedmanee Hualkasin</t>
  </si>
  <si>
    <t>HUALKASK</t>
  </si>
  <si>
    <t>ITE-23-020</t>
  </si>
  <si>
    <t>5CD321GZ2Q</t>
  </si>
  <si>
    <t>BKKPRT011</t>
  </si>
  <si>
    <t>JOERG office (old AM home office)</t>
  </si>
  <si>
    <t>HP Color LaserJet Pro MFP M183fw</t>
  </si>
  <si>
    <t>HP Color LaserJet MFP M183fw</t>
  </si>
  <si>
    <t>moved to Joerg office (16.01.2024)</t>
  </si>
  <si>
    <t>CS-18-017</t>
  </si>
  <si>
    <t xml:space="preserve">Arunya </t>
  </si>
  <si>
    <t>DELL 24 Monitor P2417H 23.8" - Aranya</t>
  </si>
  <si>
    <t>CS-19-027</t>
  </si>
  <si>
    <t>Kanda</t>
  </si>
  <si>
    <t>DELL 24 Monitor P2419H 23.8" - Kanda</t>
  </si>
  <si>
    <t>CS-20-001</t>
  </si>
  <si>
    <t>DELL 24 Monitor P2419H 23.8 - Biw Accountant</t>
  </si>
  <si>
    <t>CS-20-002</t>
  </si>
  <si>
    <t>Pui Accountant</t>
  </si>
  <si>
    <t>DELL 24 Monitor P2419H 23.8 - Pui Accountant</t>
  </si>
  <si>
    <t>CS-20-007</t>
  </si>
  <si>
    <t>CS-20-009</t>
  </si>
  <si>
    <t>DELL 24 Monitor P2419H 23.8 - Arunya Accountant</t>
  </si>
  <si>
    <t>CS-20-016</t>
  </si>
  <si>
    <t>Accounting</t>
  </si>
  <si>
    <t> </t>
  </si>
  <si>
    <t>CS-20-018</t>
  </si>
  <si>
    <t>CS-20-019</t>
  </si>
  <si>
    <t>DELL 24 Monitor P2419H 23.8 - Accounting</t>
  </si>
  <si>
    <t>CS-20-023</t>
  </si>
  <si>
    <t>DELL 24 Monitor P2419H 23.8 - Kanda</t>
  </si>
  <si>
    <t>ITE-23-034</t>
  </si>
  <si>
    <t>Ked</t>
  </si>
  <si>
    <t>Dell Professional Monitor - P2422H  - Ked</t>
  </si>
  <si>
    <t>ITE-23-035</t>
  </si>
  <si>
    <t>BNKCPY001</t>
  </si>
  <si>
    <t>BKK OFFICE AIAEG</t>
  </si>
  <si>
    <t>1000000416</t>
  </si>
  <si>
    <t xml:space="preserve">Canon iR-ADV DX C3826i </t>
  </si>
  <si>
    <t>ITE-21-021#1000000416</t>
  </si>
  <si>
    <t>CS-17-005</t>
  </si>
  <si>
    <t>Monitor Samsung LS23C350HS/XP/23'  Philippines office</t>
  </si>
  <si>
    <t>CS-17-006</t>
  </si>
  <si>
    <t>Alex</t>
  </si>
  <si>
    <t>Mornitor Dell P2417H 24" - Alex</t>
  </si>
  <si>
    <t>CS-17-007</t>
  </si>
  <si>
    <t>Paul</t>
  </si>
  <si>
    <t>Mornitor Dell P2417H 24" - Paul</t>
  </si>
  <si>
    <t>CS-18-021</t>
  </si>
  <si>
    <t>Dell24 moitor P2419H23.8" - Server room</t>
  </si>
  <si>
    <t>CS-20-021</t>
  </si>
  <si>
    <t>Thanyathon Ruttanakul</t>
  </si>
  <si>
    <t>602403002-WAREHOUSE</t>
  </si>
  <si>
    <t>CS-20-024</t>
  </si>
  <si>
    <t>Grant</t>
  </si>
  <si>
    <t>DELL 24 Monitor P2419H 23.8 - Grant</t>
  </si>
  <si>
    <t>CS-20-025</t>
  </si>
  <si>
    <t>หลังมาวิน</t>
  </si>
  <si>
    <t>DELL 24 Monitor P2419H 23.8 - Svenja</t>
  </si>
  <si>
    <t>ITE-20-010</t>
  </si>
  <si>
    <t>Vuttinan (Office sales BKK)</t>
  </si>
  <si>
    <t>Vladimir (Office sales BKK)</t>
  </si>
  <si>
    <t>DELL 24 Monitor P2419H 23.8 Inch -  Vladimir (Office sales BKK)</t>
  </si>
  <si>
    <t>ITE-21-002</t>
  </si>
  <si>
    <t xml:space="preserve">DELL 24 Monitor P2419H 23.8 Inch -  Vuthinan </t>
  </si>
  <si>
    <t>ITE-21-022</t>
  </si>
  <si>
    <t>DELL 24 Monitor P2422H  - Spare- Vuttinan (Office sales BKK)</t>
  </si>
  <si>
    <t>ITE-21-028</t>
  </si>
  <si>
    <t>Mandy</t>
  </si>
  <si>
    <t>DELL 24 Monitor P2422H  - ข้าง Marvin</t>
  </si>
  <si>
    <t>ITE-24-017</t>
  </si>
  <si>
    <t>DELL 24'' MONITOR P2425H - Vikork Workshop</t>
  </si>
  <si>
    <t>ITE-22-012</t>
  </si>
  <si>
    <t>Golf Workshop</t>
  </si>
  <si>
    <t>DELL 24 Monitor P2422H  - Golf Workshop</t>
  </si>
  <si>
    <t>ITE-24-027/3SCMK34</t>
  </si>
  <si>
    <t>John, Juergen borrow to WFH</t>
  </si>
  <si>
    <t>DELL 24'' MONITOR P2425H -Workshop - John borrow to WFH</t>
  </si>
  <si>
    <t>ITE-22-018</t>
  </si>
  <si>
    <t>โต๊ะ แถว 2  ตรงข้าง Sebastian</t>
  </si>
  <si>
    <t>DELL 24 Monitor P2422H - โต๊ะ แถว 2  ตรงข้าง Sebastian</t>
  </si>
  <si>
    <t>ITE-22-019</t>
  </si>
  <si>
    <t>หาไม่เจอxxxxx</t>
  </si>
  <si>
    <t>DELL 24 Monitor P2422H - หาไม่เจอxxxxxx</t>
  </si>
  <si>
    <t>ITE-22-021</t>
  </si>
  <si>
    <t>Jomchai</t>
  </si>
  <si>
    <t>Jomchai VMT Office 2nd floor</t>
  </si>
  <si>
    <t>DELL 24 Monitor P2422H - Jomchai VMT Office 2nd floor</t>
  </si>
  <si>
    <t>ITE-23-039</t>
  </si>
  <si>
    <t>Dell Professional Monitor - P2422H  - Spare</t>
  </si>
  <si>
    <t>Name</t>
  </si>
  <si>
    <t>ASSET TAG</t>
  </si>
  <si>
    <t>Type</t>
  </si>
  <si>
    <t>Location</t>
  </si>
  <si>
    <t>IP_ADDRESS</t>
  </si>
  <si>
    <t>Model</t>
  </si>
  <si>
    <t>Serail</t>
  </si>
  <si>
    <t>MAC ADDRESS</t>
  </si>
  <si>
    <t>SAP</t>
  </si>
  <si>
    <t>Column1</t>
  </si>
  <si>
    <t>Column2</t>
  </si>
  <si>
    <t>MFP</t>
  </si>
  <si>
    <t xml:space="preserve">Office </t>
  </si>
  <si>
    <t>http://10.193.101.1/</t>
  </si>
  <si>
    <t>KONICA MINOLTA bizhub C258</t>
  </si>
  <si>
    <t>Thailand</t>
  </si>
  <si>
    <t>admin</t>
  </si>
  <si>
    <t>1234567812345678</t>
  </si>
  <si>
    <t>John Office -JHA</t>
  </si>
  <si>
    <t>http://10.193.101.4/</t>
  </si>
  <si>
    <t>Logistic WAREHOUSE No.2</t>
  </si>
  <si>
    <t>BKKCPY005</t>
  </si>
  <si>
    <t>NO-Asset(Rental)</t>
  </si>
  <si>
    <t>Logistic Office</t>
  </si>
  <si>
    <t>10.193.101.5</t>
  </si>
  <si>
    <t xml:space="preserve">CANON IRADV DX C3926i </t>
  </si>
  <si>
    <t>4MP03329</t>
  </si>
  <si>
    <t>Logistic Warehouse New</t>
  </si>
  <si>
    <t>administrator</t>
  </si>
  <si>
    <t>7654321</t>
  </si>
  <si>
    <t>Lable Print</t>
  </si>
  <si>
    <t xml:space="preserve"> Office John</t>
  </si>
  <si>
    <t>10.193.102.1</t>
  </si>
  <si>
    <t xml:space="preserve">ZTC ZT230 </t>
  </si>
  <si>
    <t>10.193.102.2</t>
  </si>
  <si>
    <t>ZTC ZT410-203dpi ZPL</t>
  </si>
  <si>
    <t>10.193.102.3</t>
  </si>
  <si>
    <t>BKKETI004</t>
  </si>
  <si>
    <t>1000001040</t>
  </si>
  <si>
    <t xml:space="preserve">Office John </t>
  </si>
  <si>
    <t>10.193.102.4</t>
  </si>
  <si>
    <t>A0-A2  Printer</t>
  </si>
  <si>
    <t>Office HAT</t>
  </si>
  <si>
    <t>10.193.103.1</t>
  </si>
  <si>
    <t xml:space="preserve">HP DesignJet T650 36- in Printer </t>
  </si>
  <si>
    <t>Mainoffice</t>
  </si>
  <si>
    <t>37545768</t>
  </si>
  <si>
    <t>Print Only</t>
  </si>
  <si>
    <t>Sale dept</t>
  </si>
  <si>
    <t>10.193.100.1</t>
  </si>
  <si>
    <t>HR Office</t>
  </si>
  <si>
    <t>10.193.100.2</t>
  </si>
  <si>
    <t xml:space="preserve">Printer HP Laserjet P3015 </t>
  </si>
  <si>
    <t>Finace Office (ED)</t>
  </si>
  <si>
    <t>10.193.100.3</t>
  </si>
  <si>
    <t>HP Laserjet Enterprice M506</t>
  </si>
  <si>
    <t>Finace near biw</t>
  </si>
  <si>
    <t>10.193.100.4</t>
  </si>
  <si>
    <t>HP Laserjet Enterprise M506dn</t>
  </si>
  <si>
    <t>Workshop office (john)</t>
  </si>
  <si>
    <t>10.193.100.8</t>
  </si>
  <si>
    <t>HP LaserJet Enterprise M507dn</t>
  </si>
  <si>
    <t>move to IT server Room</t>
  </si>
  <si>
    <t>Office Jeorg</t>
  </si>
  <si>
    <t>10.193.100.11</t>
  </si>
  <si>
    <t>HP Color LaserJet Pro MFP M183fw -  Jeorg Office</t>
  </si>
  <si>
    <t>VNC3111999</t>
  </si>
  <si>
    <t>office bangkok</t>
  </si>
  <si>
    <t>10.192.101.1</t>
  </si>
  <si>
    <t xml:space="preserve">CANON IRADV DX C3826i </t>
  </si>
  <si>
    <t>SMTP</t>
  </si>
  <si>
    <t>smtprelay.herrenknecht.com</t>
  </si>
  <si>
    <t>DNS</t>
  </si>
  <si>
    <t>10.193.104.9</t>
  </si>
  <si>
    <t>172.18.10.190</t>
  </si>
  <si>
    <t>192.168.109.102</t>
  </si>
  <si>
    <t>HAT | cost center overview | 01-2024</t>
  </si>
  <si>
    <t>cost center</t>
  </si>
  <si>
    <t>controlling area</t>
  </si>
  <si>
    <t>company code</t>
  </si>
  <si>
    <t>category</t>
  </si>
  <si>
    <t>description</t>
  </si>
  <si>
    <t>language</t>
  </si>
  <si>
    <t>valid from</t>
  </si>
  <si>
    <t>valid to</t>
  </si>
  <si>
    <t>responsible 2025</t>
  </si>
  <si>
    <t>Project calculation</t>
  </si>
  <si>
    <t>Allocation Key</t>
  </si>
  <si>
    <t>V</t>
  </si>
  <si>
    <t>SALES</t>
  </si>
  <si>
    <t>EN</t>
  </si>
  <si>
    <t>Ben Hayes</t>
  </si>
  <si>
    <t>Pre-Sales Agreement - quarterly invoicing</t>
  </si>
  <si>
    <t>WORKSHOP MGM</t>
  </si>
  <si>
    <t>Jürgen John</t>
  </si>
  <si>
    <t>Allocation to 602104022 + 602104023</t>
  </si>
  <si>
    <t>Headcount (602104022 + 602104023)</t>
  </si>
  <si>
    <t>H</t>
  </si>
  <si>
    <t>WORKSHOP ASSEMBLY</t>
  </si>
  <si>
    <t>Hourly Rate</t>
  </si>
  <si>
    <t>WORKSHOP ELECTRIC</t>
  </si>
  <si>
    <t>PROJECT MGM</t>
  </si>
  <si>
    <t>Jörg Schwietale</t>
  </si>
  <si>
    <t>FS MANAGEMENT</t>
  </si>
  <si>
    <t>Sebastian Loetzer</t>
  </si>
  <si>
    <t>Admin Overhead</t>
  </si>
  <si>
    <t>FS PERSONNEL</t>
  </si>
  <si>
    <t>FS PERSONNEL (LOCAL)</t>
  </si>
  <si>
    <t>PURCHASING</t>
  </si>
  <si>
    <t>Material Overhead</t>
  </si>
  <si>
    <t>Ekapun Chandee</t>
  </si>
  <si>
    <t>LOGISTIC &amp; CUSTOMS</t>
  </si>
  <si>
    <t>IT ADMINISTRATION</t>
  </si>
  <si>
    <t>Kai Schießle</t>
  </si>
  <si>
    <t>FACILITIES / HR</t>
  </si>
  <si>
    <t>Ponpimon Vongtrirat</t>
  </si>
  <si>
    <t>Allocation to</t>
  </si>
  <si>
    <t>m²</t>
  </si>
  <si>
    <t>Chawanakorn Chathura</t>
  </si>
  <si>
    <t>MANAGEMENT &amp; ADMIN</t>
  </si>
  <si>
    <t>FI &amp; CO</t>
  </si>
  <si>
    <t>Arunya Saksricharoen</t>
  </si>
  <si>
    <t>HK HTE</t>
  </si>
  <si>
    <t>IC - Charging (has to be balanced)</t>
  </si>
  <si>
    <t>HK HTM</t>
  </si>
  <si>
    <t>HK HSH</t>
  </si>
  <si>
    <t>HK HCG</t>
  </si>
  <si>
    <t>HK AG</t>
  </si>
  <si>
    <t>HK ASIA HAQ</t>
  </si>
  <si>
    <t>VMT SHANGHAI</t>
  </si>
  <si>
    <t>Herrenknecht  (NZ) Limited</t>
  </si>
  <si>
    <t>S</t>
  </si>
  <si>
    <t>SALES OVERHEAD</t>
  </si>
  <si>
    <t>Alex Mallaney</t>
  </si>
  <si>
    <t>ADMINISTRATION OH</t>
  </si>
  <si>
    <t>MATERIAL OVERHEAD</t>
  </si>
  <si>
    <t>DESIGN ELECTRIC</t>
  </si>
  <si>
    <t>DESIGN MECHANICAL</t>
  </si>
  <si>
    <t>COMMERCIAL PM</t>
  </si>
  <si>
    <t>CP MANAGEMENT</t>
  </si>
  <si>
    <t>CP LABOR</t>
  </si>
  <si>
    <t>M</t>
  </si>
  <si>
    <t>CP MACHINE</t>
  </si>
  <si>
    <t>QUALITY CONTROL</t>
  </si>
  <si>
    <t>MANAGEMENT</t>
  </si>
  <si>
    <t>CENTRAL SERVICE</t>
  </si>
  <si>
    <t>HUMAN RESOURCES</t>
  </si>
  <si>
    <t>Asset</t>
  </si>
  <si>
    <t>Asset Description</t>
  </si>
  <si>
    <t>Capitalized on</t>
  </si>
  <si>
    <t>Location (HAT, BKK, HOME)</t>
  </si>
  <si>
    <t>User</t>
  </si>
  <si>
    <t xml:space="preserve"> Germain Patric Resign</t>
  </si>
  <si>
    <t>DELL 24 Monitor P2419H 23.8 Inch -  Germain Patric</t>
  </si>
  <si>
    <t xml:space="preserve"> Grant</t>
  </si>
  <si>
    <t>DELL 24 Monitor P2419H 23.8 Inch -  Grant</t>
  </si>
  <si>
    <t xml:space="preserve"> John</t>
  </si>
  <si>
    <t>DELL 24 Monitor P2419H 23.8 Inch -  John</t>
  </si>
  <si>
    <t>DELL 24 Monitor P2419H 23.8 Inch - Pitakum, Kannithi</t>
  </si>
  <si>
    <t xml:space="preserve"> QA-Manager Udorn</t>
  </si>
  <si>
    <t>DELL 24 Monitor P2419H 23.8 - QA Manager Udorn</t>
  </si>
  <si>
    <t>Dell Professional Monitor - P2422H  - QA Manager Udorn</t>
  </si>
  <si>
    <t xml:space="preserve"> Vladimir</t>
  </si>
  <si>
    <t>DELL 24 Monitor P2419H 23.8 Inch -  Vladimir</t>
  </si>
  <si>
    <t xml:space="preserve"> Vuttinan</t>
  </si>
  <si>
    <t>DELL 24 Monitor P2419H 23.8 Inch -  Vuttinan</t>
  </si>
  <si>
    <t>"DELL 24 Monitor P2419H 23.8"" - Ms. Biw Accountan</t>
  </si>
  <si>
    <t>"Mornitor Dell P2417H 24"" - Alex"</t>
  </si>
  <si>
    <t xml:space="preserve">Saranya Sikiwat </t>
  </si>
  <si>
    <t>"DELL 24 Monitor P2417H 23.8"" -Arunya"</t>
  </si>
  <si>
    <t>Arranya</t>
  </si>
  <si>
    <t>"Mornitor Dell P2417H 24"" - Ben, Prokhorov"</t>
  </si>
  <si>
    <t>Biw Accountant</t>
  </si>
  <si>
    <t>DELL 24 Monitor P2417H 23.8" - Jaa workshop</t>
  </si>
  <si>
    <t>"DELL 24 Monitor P2417H 23.8"" - Andrew Whysall "</t>
  </si>
  <si>
    <t>DELL 24 Monitor P2419H 23.8" - Wannisa</t>
  </si>
  <si>
    <t>"DELL 24 Monitor P2419H 23.8"" - Mr. Neil"</t>
  </si>
  <si>
    <t>"DELL 24 Monitor P2419H 23.8"" - Arrun"</t>
  </si>
  <si>
    <t>"DELL 24 Monitor P2419H 23.8"" - Mr.Patrick"</t>
  </si>
  <si>
    <t>"DELL 24 Monitor P2419H 23.8"" - Mr. Patrick"</t>
  </si>
  <si>
    <t>"DELL 24 Monitor P2419H 23.8"" spare"</t>
  </si>
  <si>
    <t>"DELL 24 Monitor P2419H 23.8"" - Natcha Sirikhan"</t>
  </si>
  <si>
    <t>DELL 24 Monitor P2419H 23.8" - Svenja at Home</t>
  </si>
  <si>
    <t>"DELL 24 Monitor P2419H 23.8"" - Sale Dept 3 EA."</t>
  </si>
  <si>
    <t>"DELL 24 Monitor P2419H 23.8"" - Alex"</t>
  </si>
  <si>
    <t>DELL 24 Monitor P2422H  - Mandy</t>
  </si>
  <si>
    <t>DELL 24 Monitor P2422H  - Spare</t>
  </si>
  <si>
    <t>DELL 24 Monitor P2422H  - Por</t>
  </si>
  <si>
    <t>DELL 24 Monitor P2422H  - Spare - Ott</t>
  </si>
  <si>
    <t>DELL 24 Monitor P2422H  - Spare-OTT</t>
  </si>
  <si>
    <t>DELL 24 Monitor P2422H  - Warehouse (Nick)</t>
  </si>
  <si>
    <t>DELL 24 Monitor P2422H - Spare</t>
  </si>
  <si>
    <t>DELL 24 Monitor P2422H -</t>
  </si>
  <si>
    <t>DELL 24 Monitor P2422H - xx</t>
  </si>
  <si>
    <t>DELL 24 Monitor P2422H - หาไม่เจอ</t>
  </si>
  <si>
    <t>DELL 24'' MONITOR P2425H - SPARE</t>
  </si>
  <si>
    <t xml:space="preserve">DELL 24'' MONITOR P2425H - Work shop  </t>
  </si>
  <si>
    <t>DELL 24'' MONITOR P2425H - Work shop (spare keep in HR_</t>
  </si>
  <si>
    <t>DELL 24'' MONITOR P2425H - Work shop (spare keep in HR_Room)</t>
  </si>
  <si>
    <t>DELL24 Professional Monitor P2419H 23.8"-Workshop</t>
  </si>
  <si>
    <t>DELL 24 Professional Monitor P2419H 23.8"-Workshop</t>
  </si>
  <si>
    <t>DELL 24 Professional  Monitor P2422H 23.8 -OAT</t>
  </si>
  <si>
    <t>Dell Professional Monitor - P2422H  spare</t>
  </si>
  <si>
    <t>DELL Professional Monitor P2422H - Tangmo</t>
  </si>
  <si>
    <t>"Dell24 moitor P2419H23.8"" - Michael"</t>
  </si>
  <si>
    <t>Grant work from Home</t>
  </si>
  <si>
    <t>HP EliteDesk 800DMG3,DELL 24 Monitor P2417H 23.8" - Warehouse (Tik)</t>
  </si>
  <si>
    <t>"HP EliteDesk 800DMG3,DELL 24 Monitor P2417H 23.8"</t>
  </si>
  <si>
    <t>HR coordinator</t>
  </si>
  <si>
    <t>DELL 24 Monitor P2422H  - HR coordinator</t>
  </si>
  <si>
    <t>"DELL 24 Monitor P2419H 23.8"" Jan"</t>
  </si>
  <si>
    <t>Jeeranan HR</t>
  </si>
  <si>
    <t>John</t>
  </si>
  <si>
    <t>"DELL 24 Monitor P2419H 23.8"" - John"</t>
  </si>
  <si>
    <t>DELL 24 Monitor P2419H 23.8"" Juergen John</t>
  </si>
  <si>
    <t>Kai</t>
  </si>
  <si>
    <t>DELL 24 Monitor P2419H 23.8 - Kai</t>
  </si>
  <si>
    <t>Kanjapoj</t>
  </si>
  <si>
    <t>DELL 24 Monitor P2419H 23.8 - Kanjapoj</t>
  </si>
  <si>
    <t xml:space="preserve">KANOKPORN </t>
  </si>
  <si>
    <t>DELL 24 Monitor P2422H  - KANOKPORN</t>
  </si>
  <si>
    <t xml:space="preserve"> Dell P2419H 23.8"" Arrun"</t>
  </si>
  <si>
    <t>Mulic</t>
  </si>
  <si>
    <t xml:space="preserve">Mulic </t>
  </si>
  <si>
    <t>New Purchasing</t>
  </si>
  <si>
    <t>DELL 24 Monitor P2422H  - New Purchasing</t>
  </si>
  <si>
    <t>PAE</t>
  </si>
  <si>
    <t>Dell Professional Monitor - P2422H  - PAE</t>
  </si>
  <si>
    <t>DELL 24 Monitor P2422H - Pao VMT Office 2nd floor</t>
  </si>
  <si>
    <t>ข้างๆ410..</t>
  </si>
  <si>
    <t>paul</t>
  </si>
  <si>
    <t>"Mornitor Dell P2417H 24"" - Paul"</t>
  </si>
  <si>
    <t>Phinyapat WH</t>
  </si>
  <si>
    <t>DELL Professional Monitor P2422H - Phinyapat</t>
  </si>
  <si>
    <t>Pimlada</t>
  </si>
  <si>
    <t>DELL 24 Monitor P2419H 23.8" - Pui</t>
  </si>
  <si>
    <t>Ratchakrit</t>
  </si>
  <si>
    <t>DELL 24 Monitor P2422H  - Ratchakrit</t>
  </si>
  <si>
    <t>Vikorn Apirakwong</t>
  </si>
  <si>
    <t>K-0602104021</t>
  </si>
  <si>
    <t xml:space="preserve">                                                                                </t>
  </si>
  <si>
    <t>6.02E+08</t>
  </si>
  <si>
    <t>A Dialog</t>
  </si>
  <si>
    <t>Herrenknecht (Asia) Limited / 64/213 Eastern Seaboard Industrial Estate (Rayong)</t>
  </si>
  <si>
    <t>K-0602403002</t>
  </si>
  <si>
    <t>Nisarat Boonma</t>
  </si>
  <si>
    <t>K-0602409004</t>
  </si>
  <si>
    <t>K-0602403003</t>
  </si>
  <si>
    <t>XX_R2_HAT</t>
  </si>
  <si>
    <t>Udorn Chantai</t>
  </si>
  <si>
    <t>CHANTAIU</t>
  </si>
  <si>
    <t>K-0602408004</t>
  </si>
  <si>
    <t>XX_HAT</t>
  </si>
  <si>
    <t>Piyachat Chattranusorn</t>
  </si>
  <si>
    <t>K-0602105001</t>
  </si>
  <si>
    <t>Benjamaporn Curley</t>
  </si>
  <si>
    <t>K-0602106001</t>
  </si>
  <si>
    <t>Insupang Dhanusri</t>
  </si>
  <si>
    <t>K-0602409003</t>
  </si>
  <si>
    <t>ADMINISTRATION</t>
  </si>
  <si>
    <t>Wannisa Fongkarn</t>
  </si>
  <si>
    <t>Kanda Hommaen</t>
  </si>
  <si>
    <t>HOMMAENK</t>
  </si>
  <si>
    <t>Janjira Imsaiad</t>
  </si>
  <si>
    <t>IMSAIADJ</t>
  </si>
  <si>
    <t>Chanoknunt Jiravallop</t>
  </si>
  <si>
    <t>Juergen John</t>
  </si>
  <si>
    <t>JOHNJ</t>
  </si>
  <si>
    <t>Watthanachai Kongkaew</t>
  </si>
  <si>
    <t>K-0602403001</t>
  </si>
  <si>
    <t>Wachirawit Kraiwas</t>
  </si>
  <si>
    <t>Sebastian Hendrik Loetzer</t>
  </si>
  <si>
    <t>MARKPHAJ</t>
  </si>
  <si>
    <t>Pannawat Mukprom</t>
  </si>
  <si>
    <t>MUKPROMP</t>
  </si>
  <si>
    <t>Thanatjee Onglertpranee</t>
  </si>
  <si>
    <t>ONGLERTT</t>
  </si>
  <si>
    <t>Montree Pakaphan</t>
  </si>
  <si>
    <t>Rattanaporn Phimthong</t>
  </si>
  <si>
    <t>PHIMTHOR</t>
  </si>
  <si>
    <t>Natthawimon Phoophanporn</t>
  </si>
  <si>
    <t>PHOOPHAN</t>
  </si>
  <si>
    <t>Kannithi Pitakum</t>
  </si>
  <si>
    <t>PITAKUMK</t>
  </si>
  <si>
    <t>Tanawut Pittakhu</t>
  </si>
  <si>
    <t>Prapoj Ponsing</t>
  </si>
  <si>
    <t>SAFEEEN</t>
  </si>
  <si>
    <t>K-0602104022</t>
  </si>
  <si>
    <t>Watcharaporn Saimat</t>
  </si>
  <si>
    <t>SCHWIETJ</t>
  </si>
  <si>
    <t>Peeraya Sitthinual</t>
  </si>
  <si>
    <t>SITTHINP</t>
  </si>
  <si>
    <t>Tharadol Sombun</t>
  </si>
  <si>
    <t>SOMBUNT</t>
  </si>
  <si>
    <t>K-0602408002</t>
  </si>
  <si>
    <t>FACILITIES</t>
  </si>
  <si>
    <t>Siriluk Tantisaraporn</t>
  </si>
  <si>
    <t>Jeeranun Thaiyai</t>
  </si>
  <si>
    <t>THAIYAIJ</t>
  </si>
  <si>
    <t>Jaruwit Thanakhang</t>
  </si>
  <si>
    <t>Supawat Thongyam</t>
  </si>
  <si>
    <t>K-0602408001</t>
  </si>
  <si>
    <t>VONGTRIP</t>
  </si>
  <si>
    <t>Pimlada Yotee</t>
  </si>
  <si>
    <t>No</t>
  </si>
  <si>
    <t>Detail</t>
  </si>
  <si>
    <t>PR:</t>
  </si>
  <si>
    <t>SN</t>
  </si>
  <si>
    <t>Asset FN</t>
  </si>
  <si>
    <t>Purchest Date</t>
  </si>
  <si>
    <t>Recept Date</t>
  </si>
  <si>
    <t>BATTERRY for BKKLAP062() spare now./Battery HP CD03XL</t>
  </si>
  <si>
    <t>Other</t>
  </si>
  <si>
    <t>HDMI-Cable 1.5M</t>
  </si>
  <si>
    <t>Mouse Combo set MK-295</t>
  </si>
  <si>
    <t>Mouser+Keyborad</t>
  </si>
  <si>
    <t>2438SYA5GPH9</t>
  </si>
  <si>
    <t>aranya</t>
  </si>
  <si>
    <t>2438SYL5GPK9</t>
  </si>
  <si>
    <t>2438SYP5GP69</t>
  </si>
  <si>
    <t>ekkapan</t>
  </si>
  <si>
    <t>2438SYR5GPL9</t>
  </si>
  <si>
    <t>3-Mar-25</t>
  </si>
  <si>
    <t>Tik weahouse</t>
  </si>
  <si>
    <t>2502SYD1Y208</t>
  </si>
  <si>
    <t>2502SYW1XZH9</t>
  </si>
  <si>
    <t>2502SYW1XZL9</t>
  </si>
  <si>
    <t>2502SYW1XZM9</t>
  </si>
  <si>
    <t>2502SYW1XZP9</t>
  </si>
  <si>
    <t>xxxxx</t>
  </si>
  <si>
    <t>2517SYW473X9</t>
  </si>
  <si>
    <t>HSP-IT-11</t>
  </si>
  <si>
    <t>2517SY612LR9</t>
  </si>
  <si>
    <t>P'JOY HR</t>
  </si>
  <si>
    <t>Runa-Purchase</t>
  </si>
  <si>
    <t>2441SY40ZM49</t>
  </si>
  <si>
    <t>7-Mar-25</t>
  </si>
  <si>
    <t>Micheal</t>
  </si>
  <si>
    <t>2441SYP0ZM19</t>
  </si>
  <si>
    <t>Biw</t>
  </si>
  <si>
    <t>2441SYQ0zJ88</t>
  </si>
  <si>
    <t>11-Mar-25</t>
  </si>
  <si>
    <t>Yotee Pimlada</t>
  </si>
  <si>
    <t>Poly Blackwire 3220 Stereo USB-C/A Headset</t>
  </si>
  <si>
    <t>Headset</t>
  </si>
  <si>
    <t>J08390</t>
  </si>
  <si>
    <t>HSP-IT-07</t>
  </si>
  <si>
    <t>J08392</t>
  </si>
  <si>
    <t>HSP-IT-02</t>
  </si>
  <si>
    <t>J0839D</t>
  </si>
  <si>
    <t>HSP-IT-09</t>
  </si>
  <si>
    <t>J0839E</t>
  </si>
  <si>
    <t>HSP-IT-03</t>
  </si>
  <si>
    <t>J0839F</t>
  </si>
  <si>
    <t>HSP-IT-10</t>
  </si>
  <si>
    <t>P'King</t>
  </si>
  <si>
    <t>J0839G</t>
  </si>
  <si>
    <t>HSP-IT-04</t>
  </si>
  <si>
    <t>J0839L</t>
  </si>
  <si>
    <t>HSP-IT-01</t>
  </si>
  <si>
    <t>J0839M</t>
  </si>
  <si>
    <t>HSP-IT-08</t>
  </si>
  <si>
    <t>Anupong-Workshop</t>
  </si>
  <si>
    <t>J0839N</t>
  </si>
  <si>
    <t>HSP-IT-05</t>
  </si>
  <si>
    <t>J0839R</t>
  </si>
  <si>
    <t>HSP-IT-06</t>
  </si>
  <si>
    <t>HAT | MS Teams Call</t>
  </si>
  <si>
    <t>Main number</t>
  </si>
  <si>
    <t>from</t>
  </si>
  <si>
    <t>+66 33221280</t>
  </si>
  <si>
    <t>SALE</t>
  </si>
  <si>
    <t>602101002 (incl. Ott)</t>
  </si>
  <si>
    <t>602106002 + 602106003</t>
  </si>
  <si>
    <t>givenName</t>
  </si>
  <si>
    <t>department</t>
  </si>
  <si>
    <t>telephoneNumber</t>
  </si>
  <si>
    <t>Insupang</t>
  </si>
  <si>
    <t>+66 3 322 1280 107</t>
  </si>
  <si>
    <t>'+49 7824 302 7096</t>
  </si>
  <si>
    <t>Kannithi</t>
  </si>
  <si>
    <t>+66 3 322 1280 700</t>
  </si>
  <si>
    <t>Thanatjee</t>
  </si>
  <si>
    <t>+66 3 322 1280 501</t>
  </si>
  <si>
    <t>Jeeranun</t>
  </si>
  <si>
    <t>'+66 3 322 1280 502</t>
  </si>
  <si>
    <t>Ponpimon</t>
  </si>
  <si>
    <t>'+66 3 322 1280 500</t>
  </si>
  <si>
    <t>Tharadol</t>
  </si>
  <si>
    <t>+66 3 322 1280 503</t>
  </si>
  <si>
    <t>Arunya</t>
  </si>
  <si>
    <t>'+66 3 322 1280 550</t>
  </si>
  <si>
    <t>Kedmanee</t>
  </si>
  <si>
    <t>'+66 3 322 1280 551</t>
  </si>
  <si>
    <t>Nisarat</t>
  </si>
  <si>
    <t>'+66 3 322 1280 552</t>
  </si>
  <si>
    <t>Wannisa</t>
  </si>
  <si>
    <t>'+66 3 322 1280 553</t>
  </si>
  <si>
    <t>Benjamaporn</t>
  </si>
  <si>
    <t>'+66 3 322 1280 201</t>
  </si>
  <si>
    <t>Chanoknunt</t>
  </si>
  <si>
    <t>'+66 3 322 1280 200</t>
  </si>
  <si>
    <t>Bernd</t>
  </si>
  <si>
    <t>FS PERSONNEL (expat)</t>
  </si>
  <si>
    <t>'+66 3 322 1280 251</t>
  </si>
  <si>
    <t>'+66 3 322 1280 252</t>
  </si>
  <si>
    <t>Volker-Dietmar</t>
  </si>
  <si>
    <t>'+66 3 322 1280</t>
  </si>
  <si>
    <t>Chayaphon</t>
  </si>
  <si>
    <t>FS PERSONNEL (local)</t>
  </si>
  <si>
    <t>'+66 3 322 1280 255</t>
  </si>
  <si>
    <t>'+66 3 322 1280 257</t>
  </si>
  <si>
    <t>Natthaphol</t>
  </si>
  <si>
    <t>'+66 3 322 1280 256</t>
  </si>
  <si>
    <t>Suphachai</t>
  </si>
  <si>
    <t>'+66 3 322 1280 258</t>
  </si>
  <si>
    <t xml:space="preserve">Watcharakon </t>
  </si>
  <si>
    <t>+66 3 322 1280 259</t>
  </si>
  <si>
    <t>Eckhard</t>
  </si>
  <si>
    <t>HK HAQ</t>
  </si>
  <si>
    <t>'+49 7824 302 3976</t>
  </si>
  <si>
    <t>Supawat</t>
  </si>
  <si>
    <t>+66 3 322 1280  650</t>
  </si>
  <si>
    <t>Ekapun</t>
  </si>
  <si>
    <t>'+66 3 322 1280 451</t>
  </si>
  <si>
    <t>'+66 3 322 1280 453</t>
  </si>
  <si>
    <t>Wachirawit</t>
  </si>
  <si>
    <t>'+66 3 322 1280 452</t>
  </si>
  <si>
    <t>'+66 3 322 1280 301</t>
  </si>
  <si>
    <t>Natthawimon</t>
  </si>
  <si>
    <t>'+66 3 322 1280 303</t>
  </si>
  <si>
    <t>'+66 3 322 1280 302</t>
  </si>
  <si>
    <t>Piyachat</t>
  </si>
  <si>
    <t>'+66 3 322 1280 300</t>
  </si>
  <si>
    <t>Jiramet</t>
  </si>
  <si>
    <t>'+66 3 322 1280 353</t>
  </si>
  <si>
    <t>Kanokporn</t>
  </si>
  <si>
    <t>'+66 3 322 1280 352</t>
  </si>
  <si>
    <t>'+66 3 322 1280 350</t>
  </si>
  <si>
    <t>Watthanachai</t>
  </si>
  <si>
    <t>'+66 3 322 1280 354</t>
  </si>
  <si>
    <t>Montree</t>
  </si>
  <si>
    <t>'+66 3 322 1280 601</t>
  </si>
  <si>
    <t>Siriluk</t>
  </si>
  <si>
    <t>'+66 3 322 1280 602</t>
  </si>
  <si>
    <t>'+66 3 322 1280 600</t>
  </si>
  <si>
    <t>'+66 3 322 1280 100</t>
  </si>
  <si>
    <t>'+66 3 322 1280 103</t>
  </si>
  <si>
    <t>'+66 3 322 1280 101</t>
  </si>
  <si>
    <t>Sopon</t>
  </si>
  <si>
    <t>'+66 3 322 1280 108</t>
  </si>
  <si>
    <t>Vladimir</t>
  </si>
  <si>
    <t>'+66 3 322 1280 106</t>
  </si>
  <si>
    <t>Vuttinan</t>
  </si>
  <si>
    <t>'+66 3 322 1280 104</t>
  </si>
  <si>
    <t>Janjira</t>
  </si>
  <si>
    <t>'+66 3 322 1280 401</t>
  </si>
  <si>
    <t>Phinyapat</t>
  </si>
  <si>
    <t>'+66 3 322 1280 403</t>
  </si>
  <si>
    <t>Tanawut</t>
  </si>
  <si>
    <t>'+66 3 322 1280 402</t>
  </si>
  <si>
    <t>Anupong</t>
  </si>
  <si>
    <t>+66 3 322 1280 156</t>
  </si>
  <si>
    <t>Juergen</t>
  </si>
  <si>
    <t>'+66 3 322 1280 151</t>
  </si>
  <si>
    <t>Natthaphol Safee-e</t>
  </si>
  <si>
    <t>+66 3 322 1280 154</t>
  </si>
  <si>
    <t>Parphoj</t>
  </si>
  <si>
    <t>+66 3 322 1280 155</t>
  </si>
  <si>
    <t>'+66 3 322 1280 152</t>
  </si>
  <si>
    <t>Vikorn</t>
  </si>
  <si>
    <t>'+66 3 322 1280 153</t>
  </si>
  <si>
    <t>Chayanan</t>
  </si>
  <si>
    <t>Chuanchid Ladpho</t>
  </si>
  <si>
    <t>G3FE4X</t>
  </si>
  <si>
    <t>G3FE4V</t>
  </si>
  <si>
    <t>OAT-IT</t>
  </si>
  <si>
    <t>G3FE4Y</t>
  </si>
  <si>
    <t>HSP-IT-12</t>
  </si>
  <si>
    <t>JAN-FS</t>
  </si>
  <si>
    <t>Ticket</t>
  </si>
  <si>
    <t>T00150895</t>
  </si>
  <si>
    <t>Ladpho.SgtChuanchid</t>
  </si>
  <si>
    <t>1BY75T</t>
  </si>
  <si>
    <t>G3EPCP</t>
  </si>
  <si>
    <t>F0RP7N</t>
  </si>
  <si>
    <t>G28J7J</t>
  </si>
  <si>
    <t>Janjira-logistic</t>
  </si>
  <si>
    <t>HSP-IT-13</t>
  </si>
  <si>
    <t>HSP-IT-14</t>
  </si>
  <si>
    <t>HSP-IT-15</t>
  </si>
  <si>
    <t>HSP-IT-16</t>
  </si>
  <si>
    <t>G28J8J</t>
  </si>
  <si>
    <t>HSP-IT-17</t>
  </si>
  <si>
    <t>accessorie</t>
  </si>
  <si>
    <t>USBC-USBC 2M - Ugreen</t>
  </si>
  <si>
    <t>USBA-USBC 2M- Ugreen</t>
  </si>
  <si>
    <t>HR-Sombunt/Pimjan</t>
  </si>
  <si>
    <t xml:space="preserve">JAN sale </t>
  </si>
  <si>
    <t>Beam/pannawat</t>
  </si>
  <si>
    <t xml:space="preserve">T00154290 </t>
  </si>
  <si>
    <t>sopon</t>
  </si>
  <si>
    <t>vladinir</t>
  </si>
  <si>
    <t>HSP-IT-18</t>
  </si>
  <si>
    <t>HR-pannawat</t>
  </si>
  <si>
    <t>Workshop-(atthit)</t>
  </si>
  <si>
    <t>1XOPJ3</t>
  </si>
  <si>
    <t>HSP-IT-19</t>
  </si>
  <si>
    <t>HSP-IT-20</t>
  </si>
  <si>
    <t>1BY73D</t>
  </si>
  <si>
    <t>zimmer</t>
  </si>
  <si>
    <t>P'OTT</t>
  </si>
  <si>
    <t>G28LDR</t>
  </si>
  <si>
    <t>Poly Blackwire 3310 Stereo USB-C/A Headset</t>
  </si>
  <si>
    <t>SPARE (old p ott)</t>
  </si>
  <si>
    <t>BoonsonC</t>
  </si>
  <si>
    <t>Chaluektham</t>
  </si>
  <si>
    <t xml:space="preserve">Kampun, Anupong </t>
  </si>
  <si>
    <t>BKKFPG009</t>
  </si>
  <si>
    <t>wajiphum.wutthiphong</t>
  </si>
  <si>
    <t>HP EleteBook 665 G11</t>
  </si>
  <si>
    <t>1H85392H2Q</t>
  </si>
  <si>
    <t>PR:13005855</t>
  </si>
  <si>
    <t>Sn-No</t>
  </si>
  <si>
    <t>1000001155  ITE-25-024</t>
  </si>
  <si>
    <t>1X0NRX</t>
  </si>
  <si>
    <t>HSP-IT22</t>
  </si>
  <si>
    <t>Weena saki</t>
  </si>
  <si>
    <t>Count of computername</t>
  </si>
  <si>
    <t>Weena Sagri</t>
  </si>
  <si>
    <t>Weena</t>
  </si>
  <si>
    <t>+66 3 322 1280 157</t>
  </si>
  <si>
    <t>+66 3 322 1280 158</t>
  </si>
  <si>
    <t>+66 3 322 1280 150</t>
  </si>
  <si>
    <t>HSP-IT-21</t>
  </si>
  <si>
    <t>DELL 24 Monitor P2419H 23.8 -  WH</t>
  </si>
  <si>
    <t>Tan Waehouse</t>
  </si>
  <si>
    <t>Natthapon</t>
  </si>
  <si>
    <t>Jirapate purchase</t>
  </si>
  <si>
    <t>Chanyanan</t>
  </si>
  <si>
    <t>KANDA</t>
  </si>
  <si>
    <t>KED</t>
  </si>
  <si>
    <t>xxxx  ว่าง</t>
  </si>
  <si>
    <t>penn.bernd</t>
  </si>
  <si>
    <t xml:space="preserve">headset: </t>
  </si>
  <si>
    <t>(blank)</t>
  </si>
  <si>
    <t>(All)</t>
  </si>
  <si>
    <t>HAT-Asset</t>
  </si>
  <si>
    <t>BKKFPG002</t>
  </si>
  <si>
    <t>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</si>
</sst>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mm/yy"/>
    <numFmt numFmtId="165" formatCode="[$-409]d\-mmm\-yy;@"/>
    <numFmt numFmtId="166" formatCode="_(* #,##0_);_(* \(#,##0\);_(* &quot;-&quot;??_);_(@_)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1"/>
      <color rgb="FF000000"/>
      <name val="Apto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,Regular"/>
    </font>
    <font>
      <sz val="10"/>
      <color theme="1"/>
      <name val="Arial,Regular"/>
    </font>
    <font>
      <sz val="10"/>
      <name val="Arial,Regular"/>
    </font>
    <font>
      <sz val="10"/>
      <color rgb="FFFF0000"/>
      <name val="Arial,Regular"/>
    </font>
    <font>
      <b/>
      <sz val="10"/>
      <name val="Arial"/>
      <family val="2"/>
    </font>
    <font>
      <sz val="11"/>
      <color rgb="FF000000"/>
      <name val="Calibri"/>
      <family val="2"/>
    </font>
    <font>
      <b/>
      <sz val="10"/>
      <color rgb="FF0070C0"/>
      <name val="Arial"/>
      <family val="2"/>
    </font>
    <font>
      <b/>
      <sz val="10"/>
      <color rgb="FF0070C0"/>
      <name val="Calibri"/>
      <family val="2"/>
    </font>
    <font>
      <sz val="10"/>
      <color rgb="FF0070C0"/>
      <name val="Arial"/>
      <family val="2"/>
    </font>
    <font>
      <sz val="11"/>
      <color theme="1"/>
      <name val="Aptos"/>
      <family val="2"/>
    </font>
    <font>
      <b/>
      <sz val="11"/>
      <name val="Arial,Regular"/>
    </font>
    <font>
      <sz val="11"/>
      <name val="Arial,Regular"/>
    </font>
    <font>
      <sz val="11"/>
      <color rgb="FFFF0000"/>
      <name val="Arial,Regular"/>
    </font>
    <font>
      <sz val="10"/>
      <color indexed="8"/>
      <name val="Arial,Regular"/>
    </font>
    <font>
      <sz val="12"/>
      <name val="Arial,Regula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70C0"/>
      <name val="Calibri"/>
      <family val="2"/>
      <scheme val="minor"/>
    </font>
    <font>
      <sz val="12"/>
      <color rgb="FF000000"/>
      <name val="Calibri"/>
      <family val="2"/>
    </font>
    <font>
      <sz val="10"/>
      <color rgb="FF000000"/>
      <name val="Arial,Regular"/>
    </font>
    <font>
      <sz val="11"/>
      <color rgb="FF000000"/>
      <name val="Aptos Narrow"/>
      <family val="2"/>
    </font>
    <font>
      <sz val="10"/>
      <color rgb="FFFF0000"/>
      <name val="Calibri"/>
      <family val="2"/>
      <scheme val="minor"/>
    </font>
    <font>
      <sz val="11"/>
      <color rgb="FF262626"/>
      <name val="Segoe UI"/>
      <family val="2"/>
    </font>
    <font>
      <b/>
      <sz val="9"/>
      <color rgb="FF3A3A3A"/>
      <name val="Verdana"/>
      <family val="2"/>
    </font>
    <font>
      <sz val="10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color rgb="FF3A3A3A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3A3A3A"/>
      <name val="Arial,Regular"/>
    </font>
    <font>
      <b/>
      <sz val="10"/>
      <color rgb="FF3A3A3A"/>
      <name val="Arial,Regula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ck">
        <color theme="0"/>
      </left>
      <right style="thick">
        <color theme="0"/>
      </right>
      <top/>
      <bottom style="medium">
        <color auto="1"/>
      </bottom>
      <diagonal/>
    </border>
    <border>
      <left style="thick">
        <color theme="0"/>
      </left>
      <right style="thick">
        <color theme="0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255172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34" fillId="0" borderId="0" applyNumberFormat="0" applyFill="0" applyBorder="0" applyAlignment="0" applyProtection="0"/>
  </cellStyleXfs>
  <cellXfs count="345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Border="1"/>
    <xf numFmtId="0" fontId="3" fillId="0" borderId="1" xfId="0" applyFont="1" applyBorder="1"/>
    <xf numFmtId="0" fontId="3" fillId="2" borderId="1" xfId="0" applyFont="1" applyFill="1" applyBorder="1" applyAlignment="1">
      <alignment vertical="top"/>
    </xf>
    <xf numFmtId="4" fontId="0" fillId="0" borderId="0" xfId="0" applyNumberFormat="1"/>
    <xf numFmtId="0" fontId="3" fillId="0" borderId="1" xfId="0" applyFont="1" applyBorder="1" applyAlignment="1">
      <alignment vertical="top"/>
    </xf>
    <xf numFmtId="0" fontId="0" fillId="0" borderId="2" xfId="0" applyBorder="1"/>
    <xf numFmtId="4" fontId="0" fillId="2" borderId="1" xfId="0" applyNumberForma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15" fontId="7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top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/>
    </xf>
    <xf numFmtId="0" fontId="14" fillId="0" borderId="0" xfId="0" applyFont="1"/>
    <xf numFmtId="14" fontId="0" fillId="0" borderId="0" xfId="0" applyNumberFormat="1"/>
    <xf numFmtId="0" fontId="15" fillId="0" borderId="6" xfId="0" applyFont="1" applyBorder="1" applyAlignment="1">
      <alignment horizontal="center" vertical="center" wrapText="1"/>
    </xf>
    <xf numFmtId="14" fontId="15" fillId="0" borderId="6" xfId="0" applyNumberFormat="1" applyFont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3" fillId="0" borderId="0" xfId="0" applyFont="1"/>
    <xf numFmtId="0" fontId="16" fillId="0" borderId="8" xfId="0" applyFont="1" applyBorder="1" applyAlignment="1">
      <alignment horizontal="left" vertical="center" wrapText="1"/>
    </xf>
    <xf numFmtId="14" fontId="16" fillId="0" borderId="8" xfId="0" applyNumberFormat="1" applyFont="1" applyBorder="1" applyAlignment="1">
      <alignment horizontal="left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14" fontId="18" fillId="0" borderId="8" xfId="0" applyNumberFormat="1" applyFont="1" applyBorder="1" applyAlignment="1">
      <alignment horizontal="left" vertical="center" wrapText="1"/>
    </xf>
    <xf numFmtId="0" fontId="18" fillId="0" borderId="8" xfId="0" applyFont="1" applyBorder="1" applyAlignment="1">
      <alignment horizontal="center" vertical="center" wrapText="1"/>
    </xf>
    <xf numFmtId="0" fontId="12" fillId="0" borderId="0" xfId="0" applyFont="1"/>
    <xf numFmtId="0" fontId="19" fillId="0" borderId="1" xfId="0" applyFont="1" applyBorder="1"/>
    <xf numFmtId="0" fontId="0" fillId="0" borderId="10" xfId="0" applyBorder="1"/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0" xfId="0" applyFont="1"/>
    <xf numFmtId="0" fontId="3" fillId="5" borderId="1" xfId="0" applyFont="1" applyFill="1" applyBorder="1"/>
    <xf numFmtId="0" fontId="0" fillId="5" borderId="1" xfId="0" applyFill="1" applyBorder="1"/>
    <xf numFmtId="0" fontId="21" fillId="5" borderId="1" xfId="0" applyFont="1" applyFill="1" applyBorder="1" applyAlignment="1">
      <alignment horizontal="center"/>
    </xf>
    <xf numFmtId="0" fontId="0" fillId="5" borderId="2" xfId="0" applyFill="1" applyBorder="1"/>
    <xf numFmtId="0" fontId="23" fillId="5" borderId="1" xfId="0" applyFont="1" applyFill="1" applyBorder="1" applyAlignment="1">
      <alignment horizontal="center"/>
    </xf>
    <xf numFmtId="0" fontId="16" fillId="5" borderId="1" xfId="0" applyFont="1" applyFill="1" applyBorder="1"/>
    <xf numFmtId="0" fontId="16" fillId="0" borderId="1" xfId="0" applyFont="1" applyBorder="1" applyAlignment="1">
      <alignment vertical="top"/>
    </xf>
    <xf numFmtId="165" fontId="19" fillId="0" borderId="1" xfId="0" applyNumberFormat="1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20" fillId="5" borderId="1" xfId="0" applyNumberFormat="1" applyFont="1" applyFill="1" applyBorder="1" applyAlignment="1">
      <alignment horizontal="center"/>
    </xf>
    <xf numFmtId="165" fontId="0" fillId="0" borderId="0" xfId="0" applyNumberFormat="1"/>
    <xf numFmtId="43" fontId="30" fillId="0" borderId="0" xfId="1" applyFont="1" applyAlignment="1">
      <alignment horizontal="center" vertical="center"/>
    </xf>
    <xf numFmtId="0" fontId="30" fillId="0" borderId="0" xfId="1" applyNumberFormat="1" applyFont="1" applyAlignment="1">
      <alignment horizontal="center" vertical="center"/>
    </xf>
    <xf numFmtId="166" fontId="30" fillId="0" borderId="0" xfId="1" applyNumberFormat="1" applyFont="1" applyAlignment="1">
      <alignment horizontal="center" vertical="center"/>
    </xf>
    <xf numFmtId="0" fontId="30" fillId="0" borderId="0" xfId="2" applyFont="1"/>
    <xf numFmtId="43" fontId="30" fillId="0" borderId="1" xfId="1" applyFont="1" applyBorder="1"/>
    <xf numFmtId="49" fontId="31" fillId="0" borderId="1" xfId="2" applyNumberFormat="1" applyFont="1" applyBorder="1"/>
    <xf numFmtId="43" fontId="30" fillId="0" borderId="0" xfId="1" applyFont="1"/>
    <xf numFmtId="43" fontId="30" fillId="0" borderId="0" xfId="1" applyFont="1" applyAlignment="1">
      <alignment horizontal="left" vertical="center"/>
    </xf>
    <xf numFmtId="0" fontId="30" fillId="0" borderId="0" xfId="1" applyNumberFormat="1" applyFont="1"/>
    <xf numFmtId="166" fontId="30" fillId="0" borderId="0" xfId="1" applyNumberFormat="1" applyFont="1" applyBorder="1"/>
    <xf numFmtId="0" fontId="32" fillId="0" borderId="0" xfId="2" applyFont="1" applyAlignment="1">
      <alignment horizontal="left" vertical="center" wrapText="1"/>
    </xf>
    <xf numFmtId="0" fontId="32" fillId="0" borderId="0" xfId="2" applyFont="1" applyAlignment="1">
      <alignment vertical="center"/>
    </xf>
    <xf numFmtId="166" fontId="30" fillId="0" borderId="0" xfId="1" applyNumberFormat="1" applyFont="1"/>
    <xf numFmtId="43" fontId="32" fillId="0" borderId="1" xfId="1" quotePrefix="1" applyFont="1" applyBorder="1" applyAlignment="1">
      <alignment vertical="center"/>
    </xf>
    <xf numFmtId="0" fontId="30" fillId="0" borderId="0" xfId="1" applyNumberFormat="1" applyFont="1" applyAlignment="1">
      <alignment horizontal="left"/>
    </xf>
    <xf numFmtId="43" fontId="30" fillId="0" borderId="0" xfId="1" applyFont="1" applyAlignment="1">
      <alignment vertical="center"/>
    </xf>
    <xf numFmtId="0" fontId="33" fillId="0" borderId="1" xfId="2" applyFont="1" applyBorder="1" applyAlignment="1">
      <alignment horizontal="left"/>
    </xf>
    <xf numFmtId="43" fontId="30" fillId="0" borderId="0" xfId="1" applyFont="1" applyAlignment="1">
      <alignment wrapText="1"/>
    </xf>
    <xf numFmtId="43" fontId="35" fillId="0" borderId="0" xfId="3" applyNumberFormat="1" applyFont="1"/>
    <xf numFmtId="0" fontId="30" fillId="0" borderId="0" xfId="1" applyNumberFormat="1" applyFont="1" applyAlignment="1">
      <alignment horizontal="left" vertical="top"/>
    </xf>
    <xf numFmtId="43" fontId="30" fillId="0" borderId="0" xfId="1" quotePrefix="1" applyFont="1"/>
    <xf numFmtId="166" fontId="30" fillId="0" borderId="13" xfId="1" applyNumberFormat="1" applyFont="1" applyBorder="1"/>
    <xf numFmtId="0" fontId="33" fillId="0" borderId="1" xfId="2" quotePrefix="1" applyFont="1" applyBorder="1" applyAlignment="1">
      <alignment horizontal="left"/>
    </xf>
    <xf numFmtId="43" fontId="30" fillId="0" borderId="1" xfId="1" applyFont="1" applyFill="1" applyBorder="1"/>
    <xf numFmtId="43" fontId="30" fillId="0" borderId="0" xfId="1" applyFont="1" applyFill="1"/>
    <xf numFmtId="43" fontId="30" fillId="0" borderId="0" xfId="1" applyFont="1" applyFill="1" applyAlignment="1">
      <alignment horizontal="left" vertical="center"/>
    </xf>
    <xf numFmtId="0" fontId="32" fillId="0" borderId="0" xfId="2" applyFont="1" applyAlignment="1">
      <alignment horizontal="left" vertical="top"/>
    </xf>
    <xf numFmtId="166" fontId="32" fillId="0" borderId="0" xfId="1" applyNumberFormat="1" applyFont="1" applyFill="1" applyBorder="1" applyAlignment="1">
      <alignment horizontal="right" vertical="center" wrapText="1"/>
    </xf>
    <xf numFmtId="43" fontId="30" fillId="0" borderId="0" xfId="1" quotePrefix="1" applyFont="1" applyFill="1"/>
    <xf numFmtId="0" fontId="32" fillId="0" borderId="1" xfId="2" applyFont="1" applyBorder="1" applyAlignment="1">
      <alignment vertical="center"/>
    </xf>
    <xf numFmtId="0" fontId="30" fillId="0" borderId="1" xfId="2" quotePrefix="1" applyFont="1" applyBorder="1" applyAlignment="1">
      <alignment horizontal="left"/>
    </xf>
    <xf numFmtId="0" fontId="32" fillId="0" borderId="0" xfId="2" applyFont="1" applyAlignment="1">
      <alignment horizontal="left" vertical="center"/>
    </xf>
    <xf numFmtId="0" fontId="32" fillId="0" borderId="14" xfId="2" applyFont="1" applyBorder="1" applyAlignment="1">
      <alignment vertical="center"/>
    </xf>
    <xf numFmtId="0" fontId="32" fillId="0" borderId="0" xfId="2" applyFont="1" applyAlignment="1">
      <alignment horizontal="right" vertical="center"/>
    </xf>
    <xf numFmtId="166" fontId="30" fillId="0" borderId="0" xfId="2" applyNumberFormat="1" applyFont="1"/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8" xfId="0" quotePrefix="1" applyFont="1" applyBorder="1" applyAlignment="1">
      <alignment horizontal="left" vertical="center"/>
    </xf>
    <xf numFmtId="0" fontId="0" fillId="0" borderId="0" xfId="0" quotePrefix="1"/>
    <xf numFmtId="0" fontId="17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165" fontId="0" fillId="7" borderId="1" xfId="0" applyNumberFormat="1" applyFill="1" applyBorder="1" applyAlignment="1">
      <alignment horizontal="center"/>
    </xf>
    <xf numFmtId="165" fontId="20" fillId="7" borderId="1" xfId="0" applyNumberFormat="1" applyFont="1" applyFill="1" applyBorder="1" applyAlignment="1">
      <alignment horizontal="center"/>
    </xf>
    <xf numFmtId="0" fontId="23" fillId="5" borderId="1" xfId="0" applyFont="1" applyFill="1" applyBorder="1"/>
    <xf numFmtId="0" fontId="19" fillId="0" borderId="0" xfId="0" applyFont="1"/>
    <xf numFmtId="0" fontId="0" fillId="3" borderId="0" xfId="0" applyFill="1"/>
    <xf numFmtId="0" fontId="32" fillId="0" borderId="1" xfId="2" applyFont="1" applyBorder="1" applyAlignment="1">
      <alignment horizontal="left" vertical="top"/>
    </xf>
    <xf numFmtId="0" fontId="30" fillId="0" borderId="1" xfId="1" applyNumberFormat="1" applyFont="1" applyBorder="1" applyAlignment="1">
      <alignment horizontal="left" vertical="top"/>
    </xf>
    <xf numFmtId="0" fontId="30" fillId="0" borderId="1" xfId="1" applyNumberFormat="1" applyFont="1" applyFill="1" applyBorder="1" applyAlignment="1">
      <alignment horizontal="left" vertical="top"/>
    </xf>
    <xf numFmtId="0" fontId="36" fillId="6" borderId="12" xfId="2" applyFont="1" applyFill="1" applyBorder="1" applyAlignment="1">
      <alignment horizontal="right" vertical="center" wrapText="1"/>
    </xf>
    <xf numFmtId="43" fontId="30" fillId="3" borderId="0" xfId="1" applyFont="1" applyFill="1"/>
    <xf numFmtId="0" fontId="32" fillId="3" borderId="1" xfId="2" applyFont="1" applyFill="1" applyBorder="1" applyAlignment="1">
      <alignment horizontal="left" vertical="top"/>
    </xf>
    <xf numFmtId="0" fontId="32" fillId="3" borderId="1" xfId="2" applyFont="1" applyFill="1" applyBorder="1" applyAlignment="1">
      <alignment vertical="center"/>
    </xf>
    <xf numFmtId="0" fontId="32" fillId="3" borderId="0" xfId="2" applyFont="1" applyFill="1" applyAlignment="1">
      <alignment vertical="center"/>
    </xf>
    <xf numFmtId="0" fontId="30" fillId="3" borderId="0" xfId="2" applyFont="1" applyFill="1"/>
    <xf numFmtId="0" fontId="32" fillId="3" borderId="0" xfId="2" applyFont="1" applyFill="1" applyAlignment="1">
      <alignment horizontal="left" vertical="center"/>
    </xf>
    <xf numFmtId="0" fontId="30" fillId="3" borderId="0" xfId="1" applyNumberFormat="1" applyFont="1" applyFill="1" applyAlignment="1">
      <alignment horizontal="left" vertical="center"/>
    </xf>
    <xf numFmtId="43" fontId="30" fillId="3" borderId="0" xfId="1" applyFont="1" applyFill="1" applyAlignment="1">
      <alignment vertical="center"/>
    </xf>
    <xf numFmtId="166" fontId="32" fillId="3" borderId="13" xfId="1" applyNumberFormat="1" applyFont="1" applyFill="1" applyBorder="1" applyAlignment="1">
      <alignment vertical="center"/>
    </xf>
    <xf numFmtId="0" fontId="3" fillId="3" borderId="0" xfId="0" quotePrefix="1" applyFont="1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5" fillId="0" borderId="1" xfId="0" applyFont="1" applyBorder="1" applyAlignment="1">
      <alignment wrapText="1"/>
    </xf>
    <xf numFmtId="0" fontId="25" fillId="0" borderId="1" xfId="0" applyFont="1" applyBorder="1" applyAlignment="1">
      <alignment horizontal="left" vertical="center" wrapText="1"/>
    </xf>
    <xf numFmtId="0" fontId="17" fillId="0" borderId="1" xfId="0" applyFont="1" applyBorder="1"/>
    <xf numFmtId="0" fontId="17" fillId="0" borderId="3" xfId="0" applyFont="1" applyBorder="1"/>
    <xf numFmtId="0" fontId="17" fillId="0" borderId="0" xfId="0" applyFont="1"/>
    <xf numFmtId="0" fontId="26" fillId="0" borderId="1" xfId="0" applyFont="1" applyBorder="1"/>
    <xf numFmtId="0" fontId="17" fillId="0" borderId="1" xfId="0" applyFont="1" applyBorder="1" applyAlignment="1">
      <alignment horizontal="left"/>
    </xf>
    <xf numFmtId="164" fontId="17" fillId="0" borderId="1" xfId="0" applyNumberFormat="1" applyFont="1" applyBorder="1" applyAlignment="1">
      <alignment horizontal="left"/>
    </xf>
    <xf numFmtId="0" fontId="18" fillId="0" borderId="0" xfId="0" applyFont="1"/>
    <xf numFmtId="0" fontId="18" fillId="0" borderId="1" xfId="0" applyFont="1" applyBorder="1"/>
    <xf numFmtId="0" fontId="27" fillId="0" borderId="1" xfId="0" applyFont="1" applyBorder="1"/>
    <xf numFmtId="0" fontId="18" fillId="0" borderId="1" xfId="0" applyFont="1" applyBorder="1" applyAlignment="1">
      <alignment horizontal="left"/>
    </xf>
    <xf numFmtId="164" fontId="18" fillId="0" borderId="1" xfId="0" applyNumberFormat="1" applyFont="1" applyBorder="1" applyAlignment="1">
      <alignment horizontal="left"/>
    </xf>
    <xf numFmtId="164" fontId="17" fillId="0" borderId="1" xfId="0" applyNumberFormat="1" applyFont="1" applyBorder="1"/>
    <xf numFmtId="49" fontId="28" fillId="0" borderId="1" xfId="0" applyNumberFormat="1" applyFont="1" applyBorder="1"/>
    <xf numFmtId="0" fontId="28" fillId="0" borderId="1" xfId="0" applyFont="1" applyBorder="1"/>
    <xf numFmtId="0" fontId="16" fillId="0" borderId="1" xfId="0" applyFont="1" applyBorder="1"/>
    <xf numFmtId="0" fontId="17" fillId="0" borderId="2" xfId="0" applyFont="1" applyBorder="1"/>
    <xf numFmtId="0" fontId="17" fillId="0" borderId="2" xfId="0" applyFont="1" applyBorder="1" applyAlignment="1">
      <alignment horizontal="left"/>
    </xf>
    <xf numFmtId="49" fontId="17" fillId="0" borderId="1" xfId="0" applyNumberFormat="1" applyFont="1" applyBorder="1" applyAlignment="1">
      <alignment wrapText="1"/>
    </xf>
    <xf numFmtId="49" fontId="26" fillId="0" borderId="1" xfId="0" applyNumberFormat="1" applyFont="1" applyBorder="1"/>
    <xf numFmtId="0" fontId="11" fillId="0" borderId="1" xfId="2" applyFont="1" applyBorder="1" applyAlignment="1">
      <alignment horizontal="left"/>
    </xf>
    <xf numFmtId="0" fontId="17" fillId="0" borderId="1" xfId="0" applyFont="1" applyBorder="1" applyAlignment="1">
      <alignment wrapText="1"/>
    </xf>
    <xf numFmtId="49" fontId="38" fillId="0" borderId="1" xfId="0" applyNumberFormat="1" applyFont="1" applyBorder="1"/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15" fontId="17" fillId="0" borderId="1" xfId="0" applyNumberFormat="1" applyFont="1" applyBorder="1" applyAlignment="1">
      <alignment horizontal="left" vertical="top"/>
    </xf>
    <xf numFmtId="0" fontId="17" fillId="0" borderId="5" xfId="0" applyFont="1" applyBorder="1"/>
    <xf numFmtId="49" fontId="26" fillId="0" borderId="1" xfId="0" applyNumberFormat="1" applyFont="1" applyBorder="1" applyAlignment="1">
      <alignment wrapText="1"/>
    </xf>
    <xf numFmtId="0" fontId="24" fillId="0" borderId="1" xfId="2" applyFont="1" applyBorder="1" applyAlignment="1">
      <alignment horizontal="left"/>
    </xf>
    <xf numFmtId="164" fontId="17" fillId="0" borderId="1" xfId="0" applyNumberFormat="1" applyFont="1" applyBorder="1" applyAlignment="1">
      <alignment horizontal="left" vertical="top"/>
    </xf>
    <xf numFmtId="49" fontId="17" fillId="0" borderId="1" xfId="0" applyNumberFormat="1" applyFont="1" applyBorder="1"/>
    <xf numFmtId="0" fontId="26" fillId="0" borderId="0" xfId="0" applyFont="1"/>
    <xf numFmtId="49" fontId="17" fillId="0" borderId="2" xfId="0" applyNumberFormat="1" applyFont="1" applyBorder="1" applyAlignment="1">
      <alignment wrapText="1"/>
    </xf>
    <xf numFmtId="49" fontId="26" fillId="0" borderId="2" xfId="0" applyNumberFormat="1" applyFont="1" applyBorder="1"/>
    <xf numFmtId="49" fontId="17" fillId="0" borderId="0" xfId="0" applyNumberFormat="1" applyFont="1"/>
    <xf numFmtId="0" fontId="16" fillId="0" borderId="1" xfId="0" quotePrefix="1" applyFont="1" applyBorder="1" applyAlignment="1">
      <alignment horizontal="left"/>
    </xf>
    <xf numFmtId="0" fontId="26" fillId="0" borderId="5" xfId="0" applyFont="1" applyBorder="1"/>
    <xf numFmtId="0" fontId="17" fillId="0" borderId="10" xfId="0" applyFont="1" applyBorder="1"/>
    <xf numFmtId="0" fontId="17" fillId="0" borderId="17" xfId="0" applyFont="1" applyBorder="1"/>
    <xf numFmtId="0" fontId="17" fillId="0" borderId="1" xfId="0" applyFont="1" applyBorder="1" applyAlignment="1">
      <alignment horizontal="left" vertical="top"/>
    </xf>
    <xf numFmtId="49" fontId="18" fillId="0" borderId="1" xfId="0" applyNumberFormat="1" applyFont="1" applyBorder="1"/>
    <xf numFmtId="0" fontId="7" fillId="0" borderId="1" xfId="2" quotePrefix="1" applyFont="1" applyBorder="1" applyAlignment="1">
      <alignment horizontal="left"/>
    </xf>
    <xf numFmtId="0" fontId="26" fillId="0" borderId="1" xfId="0" applyFont="1" applyBorder="1" applyAlignment="1">
      <alignment vertical="center"/>
    </xf>
    <xf numFmtId="0" fontId="37" fillId="0" borderId="1" xfId="0" applyFont="1" applyBorder="1"/>
    <xf numFmtId="0" fontId="29" fillId="0" borderId="1" xfId="0" applyFont="1" applyBorder="1"/>
    <xf numFmtId="49" fontId="26" fillId="0" borderId="2" xfId="0" applyNumberFormat="1" applyFont="1" applyBorder="1" applyAlignment="1">
      <alignment wrapText="1"/>
    </xf>
    <xf numFmtId="49" fontId="17" fillId="0" borderId="2" xfId="0" applyNumberFormat="1" applyFont="1" applyBorder="1"/>
    <xf numFmtId="49" fontId="17" fillId="0" borderId="3" xfId="0" applyNumberFormat="1" applyFont="1" applyBorder="1" applyAlignment="1">
      <alignment wrapText="1"/>
    </xf>
    <xf numFmtId="49" fontId="17" fillId="0" borderId="10" xfId="0" applyNumberFormat="1" applyFont="1" applyBorder="1" applyAlignment="1">
      <alignment wrapText="1"/>
    </xf>
    <xf numFmtId="49" fontId="26" fillId="0" borderId="3" xfId="0" applyNumberFormat="1" applyFont="1" applyBorder="1"/>
    <xf numFmtId="0" fontId="11" fillId="0" borderId="2" xfId="2" applyFont="1" applyBorder="1" applyAlignment="1">
      <alignment horizontal="left"/>
    </xf>
    <xf numFmtId="0" fontId="17" fillId="0" borderId="2" xfId="0" applyFont="1" applyBorder="1" applyAlignment="1">
      <alignment wrapText="1"/>
    </xf>
    <xf numFmtId="0" fontId="17" fillId="0" borderId="10" xfId="0" applyFont="1" applyBorder="1" applyAlignment="1">
      <alignment wrapText="1"/>
    </xf>
    <xf numFmtId="49" fontId="38" fillId="0" borderId="2" xfId="0" applyNumberFormat="1" applyFont="1" applyBorder="1"/>
    <xf numFmtId="0" fontId="11" fillId="0" borderId="4" xfId="2" applyFont="1" applyBorder="1" applyAlignment="1">
      <alignment horizontal="left"/>
    </xf>
    <xf numFmtId="0" fontId="11" fillId="0" borderId="10" xfId="2" applyFont="1" applyBorder="1" applyAlignment="1">
      <alignment horizontal="left"/>
    </xf>
    <xf numFmtId="0" fontId="11" fillId="0" borderId="9" xfId="2" applyFont="1" applyBorder="1" applyAlignment="1">
      <alignment horizontal="left"/>
    </xf>
    <xf numFmtId="0" fontId="16" fillId="0" borderId="1" xfId="2" applyFont="1" applyBorder="1" applyAlignment="1">
      <alignment horizontal="left"/>
    </xf>
    <xf numFmtId="0" fontId="11" fillId="0" borderId="3" xfId="2" applyFont="1" applyBorder="1" applyAlignment="1">
      <alignment horizontal="left"/>
    </xf>
    <xf numFmtId="0" fontId="17" fillId="0" borderId="3" xfId="0" applyFont="1" applyBorder="1" applyAlignment="1">
      <alignment wrapText="1"/>
    </xf>
    <xf numFmtId="49" fontId="38" fillId="0" borderId="5" xfId="0" applyNumberFormat="1" applyFont="1" applyBorder="1"/>
    <xf numFmtId="49" fontId="38" fillId="0" borderId="16" xfId="0" applyNumberFormat="1" applyFont="1" applyBorder="1"/>
    <xf numFmtId="49" fontId="38" fillId="0" borderId="3" xfId="0" applyNumberFormat="1" applyFont="1" applyBorder="1"/>
    <xf numFmtId="0" fontId="3" fillId="0" borderId="0" xfId="0" applyFont="1"/>
    <xf numFmtId="0" fontId="17" fillId="0" borderId="4" xfId="0" applyFont="1" applyBorder="1"/>
    <xf numFmtId="0" fontId="16" fillId="0" borderId="3" xfId="0" applyFont="1" applyBorder="1"/>
    <xf numFmtId="0" fontId="39" fillId="0" borderId="0" xfId="0" applyFont="1"/>
    <xf numFmtId="3" fontId="39" fillId="0" borderId="0" xfId="0" applyNumberFormat="1" applyFont="1"/>
    <xf numFmtId="0" fontId="18" fillId="0" borderId="17" xfId="0" applyFont="1" applyBorder="1"/>
    <xf numFmtId="0" fontId="18" fillId="0" borderId="20" xfId="0" applyFont="1" applyBorder="1"/>
    <xf numFmtId="0" fontId="18" fillId="0" borderId="10" xfId="0" applyFont="1" applyBorder="1"/>
    <xf numFmtId="0" fontId="18" fillId="0" borderId="19" xfId="0" applyFont="1" applyBorder="1"/>
    <xf numFmtId="0" fontId="18" fillId="0" borderId="10" xfId="0" applyFont="1" applyBorder="1" applyAlignment="1">
      <alignment horizontal="left"/>
    </xf>
    <xf numFmtId="0" fontId="3" fillId="0" borderId="0" xfId="0" quotePrefix="1" applyFont="1"/>
    <xf numFmtId="0" fontId="17" fillId="5" borderId="1" xfId="0" applyFont="1" applyFill="1" applyBorder="1"/>
    <xf numFmtId="0" fontId="17" fillId="5" borderId="0" xfId="0" applyFont="1" applyFill="1"/>
    <xf numFmtId="0" fontId="17" fillId="3" borderId="2" xfId="0" applyFont="1" applyFill="1" applyBorder="1"/>
    <xf numFmtId="0" fontId="17" fillId="3" borderId="0" xfId="0" applyFont="1" applyFill="1"/>
    <xf numFmtId="0" fontId="17" fillId="3" borderId="2" xfId="0" applyFont="1" applyFill="1" applyBorder="1" applyAlignment="1">
      <alignment horizontal="left"/>
    </xf>
    <xf numFmtId="164" fontId="17" fillId="3" borderId="2" xfId="0" applyNumberFormat="1" applyFont="1" applyFill="1" applyBorder="1" applyAlignment="1">
      <alignment horizontal="left"/>
    </xf>
    <xf numFmtId="0" fontId="17" fillId="3" borderId="1" xfId="0" applyFont="1" applyFill="1" applyBorder="1"/>
    <xf numFmtId="0" fontId="26" fillId="3" borderId="1" xfId="0" applyFont="1" applyFill="1" applyBorder="1"/>
    <xf numFmtId="0" fontId="17" fillId="3" borderId="1" xfId="0" applyFont="1" applyFill="1" applyBorder="1" applyAlignment="1">
      <alignment horizontal="left"/>
    </xf>
    <xf numFmtId="164" fontId="17" fillId="3" borderId="1" xfId="0" applyNumberFormat="1" applyFont="1" applyFill="1" applyBorder="1" applyAlignment="1">
      <alignment horizontal="left"/>
    </xf>
    <xf numFmtId="0" fontId="0" fillId="0" borderId="1" xfId="0" quotePrefix="1" applyBorder="1"/>
    <xf numFmtId="49" fontId="26" fillId="0" borderId="3" xfId="0" applyNumberFormat="1" applyFont="1" applyBorder="1" applyAlignment="1">
      <alignment wrapText="1"/>
    </xf>
    <xf numFmtId="0" fontId="40" fillId="0" borderId="1" xfId="2" applyFont="1" applyBorder="1" applyAlignment="1">
      <alignment horizontal="left" vertical="top"/>
    </xf>
    <xf numFmtId="0" fontId="40" fillId="0" borderId="1" xfId="2" quotePrefix="1" applyFont="1" applyBorder="1" applyAlignment="1">
      <alignment horizontal="left"/>
    </xf>
    <xf numFmtId="0" fontId="40" fillId="0" borderId="0" xfId="2" applyFont="1" applyAlignment="1">
      <alignment vertical="center"/>
    </xf>
    <xf numFmtId="0" fontId="40" fillId="0" borderId="0" xfId="2" applyFont="1"/>
    <xf numFmtId="0" fontId="40" fillId="0" borderId="0" xfId="2" applyFont="1" applyAlignment="1">
      <alignment horizontal="left" vertical="center"/>
    </xf>
    <xf numFmtId="0" fontId="23" fillId="0" borderId="1" xfId="0" applyFont="1" applyBorder="1"/>
    <xf numFmtId="165" fontId="0" fillId="0" borderId="1" xfId="0" applyNumberFormat="1" applyBorder="1"/>
    <xf numFmtId="164" fontId="17" fillId="0" borderId="2" xfId="0" applyNumberFormat="1" applyFont="1" applyBorder="1" applyAlignment="1">
      <alignment horizontal="left"/>
    </xf>
    <xf numFmtId="0" fontId="21" fillId="7" borderId="1" xfId="0" applyFont="1" applyFill="1" applyBorder="1" applyAlignment="1">
      <alignment horizontal="center"/>
    </xf>
    <xf numFmtId="0" fontId="0" fillId="5" borderId="4" xfId="0" applyFill="1" applyBorder="1"/>
    <xf numFmtId="0" fontId="0" fillId="0" borderId="4" xfId="0" applyBorder="1"/>
    <xf numFmtId="165" fontId="0" fillId="0" borderId="1" xfId="0" applyNumberFormat="1" applyBorder="1" applyAlignment="1">
      <alignment horizontal="center" vertical="center"/>
    </xf>
    <xf numFmtId="0" fontId="0" fillId="5" borderId="3" xfId="0" applyFill="1" applyBorder="1"/>
    <xf numFmtId="165" fontId="0" fillId="5" borderId="1" xfId="0" applyNumberFormat="1" applyFill="1" applyBorder="1"/>
    <xf numFmtId="0" fontId="22" fillId="0" borderId="1" xfId="0" applyFont="1" applyBorder="1" applyAlignment="1">
      <alignment horizontal="center"/>
    </xf>
    <xf numFmtId="165" fontId="20" fillId="0" borderId="1" xfId="0" applyNumberFormat="1" applyFont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165" fontId="20" fillId="5" borderId="1" xfId="0" applyNumberFormat="1" applyFont="1" applyFill="1" applyBorder="1" applyAlignment="1">
      <alignment horizontal="center" vertical="center"/>
    </xf>
    <xf numFmtId="15" fontId="0" fillId="5" borderId="4" xfId="0" applyNumberFormat="1" applyFill="1" applyBorder="1" applyAlignment="1">
      <alignment horizontal="center" vertical="center"/>
    </xf>
    <xf numFmtId="0" fontId="0" fillId="5" borderId="9" xfId="0" applyFill="1" applyBorder="1"/>
    <xf numFmtId="49" fontId="17" fillId="0" borderId="0" xfId="0" applyNumberFormat="1" applyFont="1" applyAlignment="1">
      <alignment wrapText="1"/>
    </xf>
    <xf numFmtId="49" fontId="26" fillId="0" borderId="0" xfId="0" applyNumberFormat="1" applyFont="1"/>
    <xf numFmtId="0" fontId="26" fillId="0" borderId="10" xfId="0" applyFont="1" applyBorder="1"/>
    <xf numFmtId="0" fontId="17" fillId="0" borderId="1" xfId="0" quotePrefix="1" applyFont="1" applyBorder="1" applyAlignment="1">
      <alignment horizontal="left"/>
    </xf>
    <xf numFmtId="49" fontId="17" fillId="0" borderId="19" xfId="0" applyNumberFormat="1" applyFont="1" applyBorder="1"/>
    <xf numFmtId="49" fontId="38" fillId="0" borderId="0" xfId="0" applyNumberFormat="1" applyFont="1"/>
    <xf numFmtId="49" fontId="17" fillId="0" borderId="3" xfId="0" applyNumberFormat="1" applyFont="1" applyBorder="1"/>
    <xf numFmtId="16" fontId="17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top"/>
    </xf>
    <xf numFmtId="164" fontId="18" fillId="0" borderId="1" xfId="0" applyNumberFormat="1" applyFont="1" applyBorder="1"/>
    <xf numFmtId="49" fontId="28" fillId="0" borderId="4" xfId="0" applyNumberFormat="1" applyFont="1" applyBorder="1"/>
    <xf numFmtId="0" fontId="26" fillId="3" borderId="2" xfId="0" applyFont="1" applyFill="1" applyBorder="1"/>
    <xf numFmtId="49" fontId="26" fillId="0" borderId="10" xfId="0" applyNumberFormat="1" applyFont="1" applyBorder="1" applyAlignment="1">
      <alignment wrapText="1"/>
    </xf>
    <xf numFmtId="0" fontId="27" fillId="0" borderId="0" xfId="0" applyFont="1"/>
    <xf numFmtId="0" fontId="17" fillId="0" borderId="0" xfId="0" applyFont="1" applyAlignment="1">
      <alignment horizontal="left"/>
    </xf>
    <xf numFmtId="0" fontId="17" fillId="0" borderId="18" xfId="0" applyFont="1" applyBorder="1" applyAlignment="1">
      <alignment horizontal="left" vertical="center"/>
    </xf>
    <xf numFmtId="0" fontId="17" fillId="0" borderId="4" xfId="0" quotePrefix="1" applyFont="1" applyBorder="1" applyAlignment="1">
      <alignment horizontal="left"/>
    </xf>
    <xf numFmtId="0" fontId="17" fillId="3" borderId="0" xfId="0" applyFont="1" applyFill="1" applyAlignment="1">
      <alignment horizontal="left"/>
    </xf>
    <xf numFmtId="49" fontId="28" fillId="0" borderId="5" xfId="0" applyNumberFormat="1" applyFont="1" applyBorder="1"/>
    <xf numFmtId="49" fontId="38" fillId="0" borderId="10" xfId="0" applyNumberFormat="1" applyFont="1" applyBorder="1"/>
    <xf numFmtId="0" fontId="17" fillId="0" borderId="2" xfId="0" applyFont="1" applyBorder="1" applyAlignment="1">
      <alignment horizontal="left" vertical="top"/>
    </xf>
    <xf numFmtId="0" fontId="18" fillId="0" borderId="0" xfId="0" applyFont="1" applyAlignment="1">
      <alignment horizontal="left"/>
    </xf>
    <xf numFmtId="15" fontId="17" fillId="0" borderId="2" xfId="0" applyNumberFormat="1" applyFont="1" applyBorder="1" applyAlignment="1">
      <alignment horizontal="left" vertical="top"/>
    </xf>
    <xf numFmtId="164" fontId="18" fillId="0" borderId="0" xfId="0" applyNumberFormat="1" applyFont="1" applyAlignment="1">
      <alignment horizontal="left"/>
    </xf>
    <xf numFmtId="49" fontId="28" fillId="0" borderId="1" xfId="0" applyNumberFormat="1" applyFont="1" applyBorder="1" applyAlignment="1">
      <alignment horizontal="left"/>
    </xf>
    <xf numFmtId="0" fontId="17" fillId="0" borderId="2" xfId="0" applyFont="1" applyBorder="1" applyAlignment="1">
      <alignment horizontal="left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9" fillId="0" borderId="1" xfId="0" applyFont="1" applyBorder="1"/>
    <xf numFmtId="0" fontId="3" fillId="0" borderId="1" xfId="0" quotePrefix="1" applyFont="1" applyBorder="1"/>
    <xf numFmtId="0" fontId="3" fillId="5" borderId="1" xfId="0" quotePrefix="1" applyFont="1" applyFill="1" applyBorder="1"/>
    <xf numFmtId="0" fontId="42" fillId="0" borderId="1" xfId="0" applyFont="1" applyBorder="1"/>
    <xf numFmtId="0" fontId="0" fillId="5" borderId="5" xfId="0" applyFill="1" applyBorder="1"/>
    <xf numFmtId="0" fontId="3" fillId="0" borderId="2" xfId="0" applyFont="1" applyBorder="1"/>
    <xf numFmtId="0" fontId="22" fillId="7" borderId="1" xfId="0" applyFont="1" applyFill="1" applyBorder="1" applyAlignment="1">
      <alignment horizontal="center"/>
    </xf>
    <xf numFmtId="0" fontId="3" fillId="5" borderId="4" xfId="0" applyFont="1" applyFill="1" applyBorder="1"/>
    <xf numFmtId="0" fontId="0" fillId="0" borderId="5" xfId="0" applyBorder="1"/>
    <xf numFmtId="0" fontId="3" fillId="7" borderId="1" xfId="0" applyFont="1" applyFill="1" applyBorder="1"/>
    <xf numFmtId="0" fontId="22" fillId="0" borderId="11" xfId="0" applyFont="1" applyBorder="1" applyAlignment="1">
      <alignment horizontal="center"/>
    </xf>
    <xf numFmtId="0" fontId="22" fillId="5" borderId="1" xfId="0" applyFont="1" applyFill="1" applyBorder="1" applyAlignment="1">
      <alignment horizontal="center" vertical="center"/>
    </xf>
    <xf numFmtId="0" fontId="0" fillId="5" borderId="16" xfId="0" applyFill="1" applyBorder="1"/>
    <xf numFmtId="165" fontId="0" fillId="5" borderId="10" xfId="0" applyNumberFormat="1" applyFill="1" applyBorder="1" applyAlignment="1">
      <alignment horizontal="center"/>
    </xf>
    <xf numFmtId="165" fontId="20" fillId="5" borderId="2" xfId="0" applyNumberFormat="1" applyFont="1" applyFill="1" applyBorder="1" applyAlignment="1">
      <alignment horizontal="center"/>
    </xf>
    <xf numFmtId="165" fontId="0" fillId="0" borderId="4" xfId="0" applyNumberFormat="1" applyBorder="1" applyAlignment="1">
      <alignment horizontal="center" vertical="center"/>
    </xf>
    <xf numFmtId="15" fontId="0" fillId="7" borderId="1" xfId="0" applyNumberFormat="1" applyFill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0" fillId="5" borderId="10" xfId="0" applyFill="1" applyBorder="1"/>
    <xf numFmtId="0" fontId="3" fillId="5" borderId="3" xfId="0" applyFont="1" applyFill="1" applyBorder="1"/>
    <xf numFmtId="0" fontId="3" fillId="0" borderId="10" xfId="0" applyFont="1" applyBorder="1"/>
    <xf numFmtId="0" fontId="23" fillId="0" borderId="11" xfId="0" applyFont="1" applyBorder="1"/>
    <xf numFmtId="0" fontId="23" fillId="0" borderId="2" xfId="0" applyFont="1" applyBorder="1"/>
    <xf numFmtId="0" fontId="3" fillId="5" borderId="2" xfId="0" applyFont="1" applyFill="1" applyBorder="1" applyAlignment="1">
      <alignment horizontal="left"/>
    </xf>
    <xf numFmtId="0" fontId="33" fillId="0" borderId="1" xfId="0" applyFont="1" applyBorder="1"/>
    <xf numFmtId="0" fontId="30" fillId="0" borderId="1" xfId="0" applyFont="1" applyBorder="1"/>
    <xf numFmtId="0" fontId="43" fillId="0" borderId="1" xfId="0" applyFont="1" applyBorder="1"/>
    <xf numFmtId="49" fontId="33" fillId="0" borderId="1" xfId="0" applyNumberFormat="1" applyFont="1" applyBorder="1" applyAlignment="1">
      <alignment wrapText="1"/>
    </xf>
    <xf numFmtId="0" fontId="44" fillId="0" borderId="1" xfId="0" applyFont="1" applyBorder="1"/>
    <xf numFmtId="16" fontId="33" fillId="0" borderId="1" xfId="0" quotePrefix="1" applyNumberFormat="1" applyFont="1" applyBorder="1"/>
    <xf numFmtId="164" fontId="33" fillId="0" borderId="1" xfId="0" applyNumberFormat="1" applyFont="1" applyBorder="1"/>
    <xf numFmtId="0" fontId="33" fillId="0" borderId="1" xfId="0" applyFont="1" applyBorder="1" applyAlignment="1">
      <alignment horizontal="left"/>
    </xf>
    <xf numFmtId="164" fontId="33" fillId="0" borderId="1" xfId="0" applyNumberFormat="1" applyFont="1" applyBorder="1" applyAlignment="1">
      <alignment horizontal="left"/>
    </xf>
    <xf numFmtId="0" fontId="33" fillId="0" borderId="2" xfId="0" applyFont="1" applyBorder="1"/>
    <xf numFmtId="0" fontId="44" fillId="0" borderId="2" xfId="0" applyFont="1" applyBorder="1"/>
    <xf numFmtId="0" fontId="33" fillId="0" borderId="2" xfId="0" applyFont="1" applyBorder="1" applyAlignment="1">
      <alignment horizontal="left"/>
    </xf>
    <xf numFmtId="164" fontId="33" fillId="0" borderId="2" xfId="0" applyNumberFormat="1" applyFont="1" applyBorder="1" applyAlignment="1">
      <alignment horizontal="left"/>
    </xf>
    <xf numFmtId="164" fontId="33" fillId="0" borderId="2" xfId="0" applyNumberFormat="1" applyFont="1" applyBorder="1"/>
    <xf numFmtId="0" fontId="33" fillId="5" borderId="1" xfId="0" applyFont="1" applyFill="1" applyBorder="1"/>
    <xf numFmtId="0" fontId="44" fillId="5" borderId="1" xfId="0" applyFont="1" applyFill="1" applyBorder="1"/>
    <xf numFmtId="0" fontId="33" fillId="5" borderId="1" xfId="0" applyFont="1" applyFill="1" applyBorder="1" applyAlignment="1">
      <alignment horizontal="left"/>
    </xf>
    <xf numFmtId="164" fontId="33" fillId="5" borderId="1" xfId="0" applyNumberFormat="1" applyFont="1" applyFill="1" applyBorder="1" applyAlignment="1">
      <alignment horizontal="left"/>
    </xf>
    <xf numFmtId="164" fontId="33" fillId="5" borderId="1" xfId="0" applyNumberFormat="1" applyFont="1" applyFill="1" applyBorder="1"/>
    <xf numFmtId="0" fontId="30" fillId="5" borderId="1" xfId="0" applyFont="1" applyFill="1" applyBorder="1"/>
    <xf numFmtId="0" fontId="1" fillId="0" borderId="1" xfId="0" applyFont="1" applyBorder="1"/>
    <xf numFmtId="0" fontId="30" fillId="0" borderId="1" xfId="0" applyFont="1" applyBorder="1" applyAlignment="1">
      <alignment horizontal="left"/>
    </xf>
    <xf numFmtId="0" fontId="46" fillId="0" borderId="1" xfId="0" applyFont="1" applyBorder="1"/>
    <xf numFmtId="0" fontId="45" fillId="0" borderId="1" xfId="0" applyFont="1" applyBorder="1"/>
    <xf numFmtId="0" fontId="33" fillId="0" borderId="1" xfId="0" applyFont="1" applyBorder="1" applyAlignment="1">
      <alignment horizontal="left" vertical="center"/>
    </xf>
    <xf numFmtId="15" fontId="33" fillId="0" borderId="1" xfId="0" applyNumberFormat="1" applyFont="1" applyBorder="1" applyAlignment="1">
      <alignment horizontal="left" vertical="top"/>
    </xf>
    <xf numFmtId="0" fontId="32" fillId="0" borderId="1" xfId="0" applyFont="1" applyBorder="1"/>
    <xf numFmtId="49" fontId="44" fillId="0" borderId="1" xfId="0" applyNumberFormat="1" applyFont="1" applyBorder="1"/>
    <xf numFmtId="0" fontId="33" fillId="0" borderId="1" xfId="0" applyFont="1" applyBorder="1" applyAlignment="1">
      <alignment vertical="center"/>
    </xf>
    <xf numFmtId="0" fontId="33" fillId="3" borderId="1" xfId="0" applyFont="1" applyFill="1" applyBorder="1"/>
    <xf numFmtId="0" fontId="33" fillId="3" borderId="1" xfId="0" applyFont="1" applyFill="1" applyBorder="1" applyAlignment="1">
      <alignment horizontal="left" vertical="center"/>
    </xf>
    <xf numFmtId="49" fontId="44" fillId="3" borderId="1" xfId="0" applyNumberFormat="1" applyFont="1" applyFill="1" applyBorder="1"/>
    <xf numFmtId="0" fontId="33" fillId="3" borderId="1" xfId="0" applyFont="1" applyFill="1" applyBorder="1" applyAlignment="1">
      <alignment vertical="center"/>
    </xf>
    <xf numFmtId="0" fontId="33" fillId="3" borderId="1" xfId="0" applyFont="1" applyFill="1" applyBorder="1" applyAlignment="1">
      <alignment horizontal="left"/>
    </xf>
    <xf numFmtId="15" fontId="33" fillId="3" borderId="1" xfId="0" applyNumberFormat="1" applyFont="1" applyFill="1" applyBorder="1" applyAlignment="1">
      <alignment horizontal="left" vertical="top"/>
    </xf>
    <xf numFmtId="0" fontId="19" fillId="0" borderId="4" xfId="0" applyFont="1" applyBorder="1" applyAlignment="1">
      <alignment horizontal="center" vertical="center"/>
    </xf>
    <xf numFmtId="15" fontId="3" fillId="0" borderId="4" xfId="0" applyNumberFormat="1" applyFon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5" fontId="0" fillId="5" borderId="9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5" fontId="3" fillId="5" borderId="2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4" xfId="0" applyFont="1" applyBorder="1" applyAlignment="1">
      <alignment wrapText="1"/>
    </xf>
    <xf numFmtId="0" fontId="17" fillId="0" borderId="9" xfId="0" applyFont="1" applyBorder="1"/>
    <xf numFmtId="0" fontId="25" fillId="0" borderId="5" xfId="0" applyFont="1" applyBorder="1" applyAlignment="1">
      <alignment wrapText="1"/>
    </xf>
    <xf numFmtId="49" fontId="17" fillId="0" borderId="5" xfId="0" applyNumberFormat="1" applyFont="1" applyBorder="1" applyAlignment="1">
      <alignment wrapText="1"/>
    </xf>
    <xf numFmtId="0" fontId="47" fillId="0" borderId="1" xfId="0" applyFont="1" applyBorder="1"/>
    <xf numFmtId="0" fontId="16" fillId="0" borderId="20" xfId="0" applyFont="1" applyBorder="1"/>
    <xf numFmtId="0" fontId="17" fillId="0" borderId="19" xfId="0" applyFont="1" applyBorder="1"/>
    <xf numFmtId="0" fontId="17" fillId="0" borderId="10" xfId="0" applyFont="1" applyBorder="1" applyAlignment="1">
      <alignment horizontal="left"/>
    </xf>
    <xf numFmtId="164" fontId="17" fillId="0" borderId="0" xfId="0" applyNumberFormat="1" applyFont="1" applyAlignment="1">
      <alignment horizontal="left"/>
    </xf>
    <xf numFmtId="164" fontId="17" fillId="0" borderId="0" xfId="0" applyNumberFormat="1" applyFont="1"/>
    <xf numFmtId="0" fontId="48" fillId="0" borderId="0" xfId="0" applyFont="1"/>
    <xf numFmtId="0" fontId="18" fillId="0" borderId="5" xfId="0" applyFont="1" applyBorder="1"/>
  </cellXfs>
  <cellStyles count="4">
    <cellStyle name="Comma 2" xfId="1" xr:uid="{14491D44-CE9E-415D-ADCD-3705FA2DD41B}"/>
    <cellStyle name="Hyperlink 2" xfId="3" xr:uid="{9B579618-B931-449C-947C-77D663679301}"/>
    <cellStyle name="Normal" xfId="0" builtinId="0"/>
    <cellStyle name="Normal 2" xfId="2" xr:uid="{2A56D364-D582-49F0-B13A-A15860ED625F}"/>
  </cellStyles>
  <dxfs count="31"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sz val="10"/>
        <name val="Arial,Regular"/>
        <scheme val="none"/>
      </font>
      <numFmt numFmtId="30" formatCode="@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,Regular"/>
        <scheme val="none"/>
      </font>
      <numFmt numFmtId="30" formatCode="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sz val="10"/>
        <name val="Arial,Regular"/>
        <scheme val="none"/>
      </font>
      <numFmt numFmtId="30" formatCode="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bgColor auto="1"/>
        </patternFill>
      </fill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,Regular"/>
        <scheme val="none"/>
      </font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,Regular"/>
        <scheme val="none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DC9A036-D02B-4D55-82A6-CC99734F7B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54883</xdr:colOff>
      <xdr:row>52</xdr:row>
      <xdr:rowOff>150963</xdr:rowOff>
    </xdr:from>
    <xdr:to>
      <xdr:col>11</xdr:col>
      <xdr:colOff>346236</xdr:colOff>
      <xdr:row>60</xdr:row>
      <xdr:rowOff>117346</xdr:rowOff>
    </xdr:to>
    <xdr:sp macro="" textlink="">
      <xdr:nvSpPr>
        <xdr:cNvPr id="4" name="Textfeld 1">
          <a:extLst>
            <a:ext uri="{FF2B5EF4-FFF2-40B4-BE49-F238E27FC236}">
              <a16:creationId xmlns:a16="http://schemas.microsoft.com/office/drawing/2014/main" id="{6D442C39-C3E0-969E-BD2C-A1074203F6A7}"/>
            </a:ext>
          </a:extLst>
        </xdr:cNvPr>
        <xdr:cNvSpPr txBox="1"/>
      </xdr:nvSpPr>
      <xdr:spPr>
        <a:xfrm>
          <a:off x="12342133" y="8066238"/>
          <a:ext cx="3186953" cy="1185583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600"/>
            <a:t>JJ 1x Monitor aus dem Server Raum in Container office for support aus Schwanau -</a:t>
          </a:r>
          <a:r>
            <a:rPr lang="de-DE" sz="1600" baseline="0"/>
            <a:t> datum 09.04.2024</a:t>
          </a:r>
          <a:endParaRPr lang="de-DE" sz="1600"/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3FDAFC8-486C-4442-9F34-CDC081358E6C}">
    <nsvFilter filterId="{C6D92960-2666-4431-BEB2-59E43B17F228}" ref="A1:N231" tableId="1">
      <columnFilter colId="3" id="{295A1FE5-B293-40C3-9C29-C7EBAE9A2E6C}">
        <filter colId="3">
          <x:filters>
            <x:filter val="LOGISTICS"/>
          </x:filters>
        </filter>
      </columnFilter>
      <columnFilter colId="6" id="{AD78E6A9-F294-41A1-90D9-27BF7063182E}">
        <filter colId="6">
          <x:filters>
            <x:filter val="LAPTOP"/>
            <x:filter val="LAPTOP-FPG"/>
          </x:filters>
        </filter>
      </columnFilter>
      <sortRules>
        <sortRule colId="0" id="{5D59D713-F8A5-4077-A597-795348D0C0BD}">
          <sortCondition ref="A1:A231"/>
        </sortRule>
      </sortRules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ngyam, Supawat" refreshedDate="46140.708540509258" createdVersion="8" refreshedVersion="8" minRefreshableVersion="3" recordCount="230" xr:uid="{F09A2744-5C17-44D7-AE18-78AA1D0CC55D}">
  <cacheSource type="worksheet">
    <worksheetSource name="Table1"/>
  </cacheSource>
  <cacheFields count="14">
    <cacheField name="computername" numFmtId="0">
      <sharedItems containsBlank="1" count="224">
        <s v="CS-17-005"/>
        <s v="BKKPRT002"/>
        <s v="CS-17-006"/>
        <s v="CS-17-007"/>
        <s v="CS-18-003"/>
        <s v="CS-18-004"/>
        <s v="BKKETI003"/>
        <s v="BKKPRT004"/>
        <s v="CS-18-010"/>
        <s v="BKKPRT001"/>
        <s v="CS-18-017"/>
        <s v="CS-18-021"/>
        <s v="CS-19-018"/>
        <s v="CS-19-004"/>
        <s v="CS-19-003"/>
        <s v="CS-19-005"/>
        <s v="CS-19-016"/>
        <s v="CS-19-017"/>
        <s v="CS-19-021"/>
        <s v="BKKFPG001"/>
        <s v="CS-19-023"/>
        <s v="BKKFPG003"/>
        <s v="CS-19-025"/>
        <s v="CS-19-026"/>
        <s v="CS-19-027"/>
        <s v="CS-20-001"/>
        <s v="CS-20-002"/>
        <s v="CS-20-003"/>
        <s v="CS-20-004"/>
        <s v="CS-20-005"/>
        <s v="CS-20-006"/>
        <s v="CS-20-007"/>
        <s v="CS-20-008"/>
        <s v="CS-20-009"/>
        <s v="CS-20-011"/>
        <s v="CS-20-012"/>
        <s v="CS-20-013"/>
        <s v="CS-20-014"/>
        <s v="CS-20-015"/>
        <s v="CS-20-016"/>
        <s v="CS-20-018"/>
        <s v="CS-20-019"/>
        <s v="CS-20-020"/>
        <s v="CS-20-021"/>
        <s v="CS-20-022"/>
        <s v="CS-20-023"/>
        <s v="CS-20-024"/>
        <s v="CS-20-025"/>
        <s v="ITE-20-010"/>
        <s v="BKKFPG004"/>
        <s v="ITE-20-013"/>
        <s v="ITE-20-017"/>
        <s v="ITE-20-018"/>
        <s v="ITE-21-002"/>
        <s v="ITE-21-006"/>
        <s v="ITE-21-007"/>
        <s v="ITE-21-010"/>
        <s v="ITE-21-011"/>
        <s v="ITE-21-022"/>
        <s v="ITE-21-023"/>
        <s v="ITE-21-024"/>
        <s v="ITE-21-025"/>
        <s v="ITE-21-026"/>
        <s v="BKKFPG005"/>
        <s v="ITE-21-028"/>
        <s v="BKKCPY004"/>
        <s v="ITE-22-008"/>
        <s v="ITE-22-009"/>
        <s v="BKKFPG006"/>
        <s v="BKKFPG007"/>
        <s v="ITE-22-013"/>
        <s v="BKKFPG008"/>
        <s v="ITE-22-016"/>
        <s v="ITE-22-017"/>
        <s v="ITE-22-018"/>
        <s v="ITE-22-019"/>
        <s v="ITE-22-020"/>
        <s v="ITE-22-021"/>
        <s v="BKKPRT011"/>
        <s v="ITE-23-001"/>
        <s v="ITE-23-002"/>
        <s v="ITE-23-030"/>
        <s v="ITE-23-031"/>
        <s v="ITE-23-032"/>
        <s v="ITE-23-033"/>
        <s v="ITE-23-034"/>
        <s v="ITE-23-035"/>
        <s v="ITE-23-036"/>
        <s v="ITE-23-037"/>
        <s v="ITE-23-038"/>
        <s v="ITE-23-039"/>
        <s v="ITE-24-001"/>
        <s v="ITE-24-002"/>
        <s v="ITE-24-003"/>
        <s v="ITE-24-004"/>
        <s v="ITE-24-005"/>
        <s v="BKKFPG009"/>
        <s v="BKKLAP004"/>
        <s v="BKKLAP046"/>
        <s v="BKKPOI001"/>
        <s v="ITE-24-020"/>
        <s v="ITE-24-021"/>
        <s v="ITE-24-022"/>
        <s v="ITE-24-023"/>
        <s v="CS-18-007"/>
        <s v="ITE-24-026_x000a_"/>
        <s v="CS-19-022"/>
        <s v="BKKCPY001"/>
        <s v="BKKETI001"/>
        <s v="BKKPRT003"/>
        <s v="BKKPRT008"/>
        <s v="BKKETI002"/>
        <s v="CS-19-024"/>
        <s v="BKKPLT001"/>
        <s v="BKKCPY002"/>
        <s v="BNKCPY001"/>
        <s v="BKKLAP047"/>
        <s v="BKKLAP048"/>
        <s v="BKKLAP049"/>
        <s v="BKKFPG002"/>
        <s v="BKKLAP051"/>
        <s v="BKKLAP052"/>
        <s v="BKKLAP053"/>
        <s v="BKKLAP054"/>
        <s v="BKKLAP055"/>
        <s v="ITE-25-013                           "/>
        <s v="ITE-20-012"/>
        <s v="ITE-21-027"/>
        <s v="ITE-22-011"/>
        <s v="BKKLAP056"/>
        <s v="BKKLAP057"/>
        <s v="BKKLAP058"/>
        <s v="BKKLAP059"/>
        <s v="ITE-22-012"/>
        <s v="ITE-22-014"/>
        <s v="BKKLAP060"/>
        <s v="BKKLAP061"/>
        <s v="BKKLAP062"/>
        <s v="BKKLAP063"/>
        <s v="BKKLAP064"/>
        <s v="BKKLAP065"/>
        <s v="BKKLAP066"/>
        <s v="BKKLAP067"/>
        <s v="BKKLAP068"/>
        <s v="ITE-24-006"/>
        <s v="BKKLAP069"/>
        <s v="BKKLAP070"/>
        <s v="BKKLAP071"/>
        <s v="BKKLAP072"/>
        <s v="BKKLAP073"/>
        <s v="BKKLAP074"/>
        <s v="BKKLAP075"/>
        <s v="ITE-24-017"/>
        <s v="BKKLAP076"/>
        <s v="ITE-24-018"/>
        <s v="ITE-24-019"/>
        <s v="ITE-24-025/BSRNK34"/>
        <s v="ITE-24-027/3SCMK34"/>
        <s v="BKKPH001"/>
        <s v="BKKPH002"/>
        <s v="BKKPH003"/>
        <s v="BKKLAP077"/>
        <s v="BKKLAP078"/>
        <s v="BKKLAP079"/>
        <s v="BKKLAP080"/>
        <s v="BKKLAP081"/>
        <s v="BKKLAP082"/>
        <s v="BKKPH006"/>
        <s v="BKKLAP083"/>
        <s v="BKKLAP084"/>
        <s v="BKKLAP085"/>
        <s v="BKKLAP086"/>
        <s v="BKKLAP087"/>
        <s v="BKKLAP088"/>
        <s v="BKKLAP089"/>
        <s v="BKKLAP090"/>
        <s v="BKKPH007"/>
        <s v="BKKPH008"/>
        <s v="BKKPH010"/>
        <s v="BKKLAP091"/>
        <s v="BKKLAP092"/>
        <s v="ITE-25-014                                      "/>
        <s v="BKKLAP093"/>
        <s v="BKKLAP094"/>
        <s v="BKKLAP095"/>
        <s v="BKKLAP096"/>
        <s v="BKKLAP097"/>
        <s v="BKKLAP098"/>
        <s v="BKKLAP099"/>
        <s v="BKKPH013"/>
        <s v="BKKLAP100"/>
        <s v="BKKLAP101"/>
        <s v="BKKLAP102"/>
        <s v="BKKLAP103"/>
        <s v="BKKLAP104"/>
        <s v="BKKLAP105"/>
        <s v="BKKLAP106"/>
        <s v="BKKPH014"/>
        <s v="BKKPH015"/>
        <s v="ITE-25-015                                     "/>
        <s v="BKKLAP107"/>
        <s v="BKKLAP108"/>
        <s v="BKKLAP109"/>
        <s v="BKKLAP110"/>
        <s v="BKKPH016"/>
        <s v="BKKPH017"/>
        <s v="BKKLAP111"/>
        <s v="BKKLAP112"/>
        <s v="ITE-25-016                             "/>
        <s v="BKKLAP113"/>
        <s v="BKKLAP114"/>
        <s v="BKKLAP115 "/>
        <s v="BKKLAP116"/>
        <s v="BKKLAP117"/>
        <s v="BKKPH021"/>
        <s v="BKKPH022"/>
        <s v="BKKPH024"/>
        <s v="BKKPH025"/>
        <s v="BKKPH026"/>
        <s v="BKKPH027"/>
        <s v="BKKPRT007"/>
        <s v="BKKRTR001"/>
        <m/>
        <s v="BKKLAP050 =BKKFPG002" u="1"/>
      </sharedItems>
    </cacheField>
    <cacheField name="Employee" numFmtId="0">
      <sharedItems containsBlank="1" count="103">
        <m/>
        <s v="Printer"/>
        <s v="Saimat, Watcharaporn"/>
        <s v="Sombun Tharadol"/>
        <s v="Saksricharoen, Arunya"/>
        <s v="garnt"/>
        <s v="Curley, Benjamaporn"/>
        <s v="Vongtrirat, Ponpimon"/>
        <s v="Chandee, Ekapun "/>
        <s v="Imsaiad, Janjira"/>
        <s v="Joerg Schwietale"/>
        <s v="Schrickel, Ralf / SCHRICKR / 00002693"/>
        <s v="Pitakum, Kannithi"/>
        <s v="Doyle, Adam"/>
        <s v="Jiravallop, Chanoknunt "/>
        <s v="Hommaen, Kanda"/>
        <s v="Boonma, Nisarat"/>
        <s v="Fongkarn, Wannisa  "/>
        <s v="Phinyapat Baotham"/>
        <s v="Thanyathon Ruttanakul "/>
        <s v="Udorn Chanta"/>
        <s v="Yotee, Pimlada "/>
        <s v="Phoophanporn.Natthawimon"/>
        <s v="Thanakhang, Jaruwit"/>
        <s v="loetzer, Sebastia"/>
        <s v="Thanyathon Ruttanakul"/>
        <s v="Grant"/>
        <s v="หลังมาวิน"/>
        <s v="Vuttinan (Office sales BKK)"/>
        <s v="Service general"/>
        <s v="Onglertpranee, Thanatjee"/>
        <s v="Chattranusorn, Piyachat"/>
        <s v="SUPAWAT THONGYAM"/>
        <s v="Dhanusri, Insupang "/>
        <s v="Nurrulphittri Thamrongsab"/>
        <s v="Jiramet Markphan"/>
        <s v="Pankeaw, Woraman"/>
        <s v="Pittakhu, Tanawut "/>
        <s v="Chaluektham"/>
        <s v="Santu Biswas"/>
        <s v="wajiphum.wutthiphong"/>
        <s v="WATTHANACHAI KONGKAEW"/>
        <s v="Jomchai"/>
        <s v="Kraiwas, Wachirawit"/>
        <s v="Pakaphan, Montree"/>
        <s v="Tantisaraporn, Siriluk"/>
        <s v="Kedmanee Hualkasin"/>
        <s v="Thaiyai, Jeeranun"/>
        <s v="Kampun, Anupong "/>
        <s v="SPARE: IT Cabinet"/>
        <s v="Penn, Bernd"/>
        <s v="hk\s_workshop_drawing_v"/>
        <s v="PANNAWAT MUKPROM"/>
        <s v="Weena Sagri"/>
        <s v="Wukson  Grant"/>
        <s v="John, Juergen"/>
        <s v="Kaewkongjan, Eakkarat"/>
        <s v="Rajasa, Vega"/>
        <s v="WATCHARAPORN SAIMAT"/>
        <s v="Classifier - FI Accounting Team"/>
        <s v="Prapoj"/>
        <s v="Ladpho, Sgt.Chuanchid"/>
        <s v="Vikorn Apirakwong "/>
        <s v="Chueachang, Suphachai"/>
        <s v="Kaewkongjan, Eakkarat-Reture IT&gt;"/>
        <s v="Pongsuwan, Natthaphol"/>
        <s v="Golf Workshop"/>
        <s v="Promra, Chayaphon "/>
        <s v="Nattaphon Safee-e"/>
        <s v="Thanyathon Ruttanakul / 18805"/>
        <s v="Ponsing, Prapoj"/>
        <s v="Jiravallop, Chanoknunt"/>
        <s v="Hayes, Ben"/>
        <s v="Mahadphrom, Sittichai "/>
        <s v="Chattranusorn, Piyachat "/>
        <s v="Wilson, Grant "/>
        <s v=" Chayanan Rattanarojjanathum"/>
        <s v="Atit Khuntee"/>
        <s v="Vuttinan BOONPHAN"/>
        <s v="Schwietale, Joerg"/>
        <s v="Dhanusri, Insupang"/>
        <s v=" Nurrulphittri Thamrongsab"/>
        <s v="Dantrakoon, Sopon"/>
        <s v="Thanakhang, Jaruwit "/>
        <s v="Boonphan, Vuttinan"/>
        <s v="Schießle, Kai"/>
        <s v="Prokhorov, Vladimir"/>
        <s v="Chayanan Rattanarojjanathum"/>
        <s v="Elison, Volker-Dietmar"/>
        <s v="Watcharakorn Bunrak"/>
        <s v="Promra, Chayaphon"/>
        <s v="Paul Hutchinson"/>
        <s v="penn.bernd"/>
        <s v="Adam Doyle"/>
        <s v="SECURITY"/>
        <s v="Switch network"/>
        <s v="Sitthinual, Peeraya" u="1"/>
        <s v="SPARE :  OLD " u="1"/>
        <s v="SPARE: " u="1"/>
        <s v="IT-Cabinet-Hutchinson, Paul" u="1"/>
        <s v="penn.bernd(brrow)" u="1"/>
        <s v="thammarak.isara" u="1"/>
        <s v="SPARE" u="1"/>
      </sharedItems>
    </cacheField>
    <cacheField name=" User Name" numFmtId="0">
      <sharedItems containsBlank="1"/>
    </cacheField>
    <cacheField name="Department" numFmtId="0">
      <sharedItems containsBlank="1" count="15">
        <m/>
        <s v="602408002-FACILITIES / HR"/>
        <s v="602101002-SALES"/>
        <s v="602403003-LOGISTIC &amp; CUSTOMS"/>
        <s v="602104021-WORKSHOP MGM"/>
        <s v="602409004-FI &amp; CO"/>
        <s v="602106001-FS MANAGEMENT"/>
        <s v="602409003-MANAGEMENT &amp; ADMIN"/>
        <s v="602106002-FS PERSONNEL"/>
        <s v="602408004-QHSE"/>
        <s v="602403001-PURCHASING"/>
        <s v="602105001-PROJECT MGM"/>
        <s v="602403002-WAREHOUSE"/>
        <s v="602408001-IT ADMINISTRATION"/>
        <s v="602106003-FS PERSONNEL (LOCAL)"/>
      </sharedItems>
    </cacheField>
    <cacheField name="HAT-Asset" numFmtId="0">
      <sharedItems containsBlank="1" containsMixedTypes="1" containsNumber="1" containsInteger="1" minValue="1000000050" maxValue="1000001022"/>
    </cacheField>
    <cacheField name="LOCATION/MAC Address:" numFmtId="0">
      <sharedItems containsBlank="1"/>
    </cacheField>
    <cacheField name="TYPE" numFmtId="0">
      <sharedItems containsBlank="1" count="8">
        <s v="Monitor"/>
        <s v="PRINTER"/>
        <s v="LAPTOP-FPG"/>
        <s v="LAPTOP"/>
        <s v="Desktop"/>
        <s v="Mobile"/>
        <s v="Network"/>
        <m/>
      </sharedItems>
    </cacheField>
    <cacheField name="Description" numFmtId="0">
      <sharedItems containsBlank="1"/>
    </cacheField>
    <cacheField name="Sn-No" numFmtId="0">
      <sharedItems containsBlank="1"/>
    </cacheField>
    <cacheField name="PO" numFmtId="0">
      <sharedItems containsBlank="1" containsMixedTypes="1" containsNumber="1" containsInteger="1" minValue="4500799734" maxValue="4501592627"/>
    </cacheField>
    <cacheField name="Tax IV" numFmtId="0">
      <sharedItems containsBlank="1"/>
    </cacheField>
    <cacheField name="Purchase Date: mm/yy" numFmtId="0">
      <sharedItems containsDate="1" containsBlank="1" containsMixedTypes="1" minDate="2017-09-01T00:00:00" maxDate="2025-08-30T00:00:00"/>
    </cacheField>
    <cacheField name="replacement mm/yy" numFmtId="0">
      <sharedItems containsDate="1" containsBlank="1" containsMixedTypes="1" minDate="2022-09-01T00:00:00" maxDate="2029-09-02T00:00:00"/>
    </cacheField>
    <cacheField name="Comment /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x v="0"/>
    <x v="0"/>
    <s v=" "/>
    <x v="0"/>
    <n v="1000000050"/>
    <m/>
    <x v="0"/>
    <s v="Monitor Samsung LS23C350HS/XP/23'  Philippines office"/>
    <m/>
    <m/>
    <m/>
    <m/>
    <m/>
    <m/>
  </r>
  <r>
    <x v="1"/>
    <x v="1"/>
    <s v="VONTRIRP"/>
    <x v="1"/>
    <n v="1000000053"/>
    <s v="VONTRIRP"/>
    <x v="1"/>
    <s v="HP LaserJet P3015dn"/>
    <s v="VNF3F11233"/>
    <m/>
    <m/>
    <m/>
    <s v="CS-15-001#1000000053"/>
    <m/>
  </r>
  <r>
    <x v="2"/>
    <x v="0"/>
    <s v="Alex"/>
    <x v="0"/>
    <n v="1000000074"/>
    <m/>
    <x v="0"/>
    <s v="Mornitor Dell P2417H 24&quot; - Alex"/>
    <m/>
    <m/>
    <m/>
    <m/>
    <m/>
    <m/>
  </r>
  <r>
    <x v="3"/>
    <x v="0"/>
    <s v="Paul"/>
    <x v="0"/>
    <n v="1000000075"/>
    <m/>
    <x v="0"/>
    <s v="Mornitor Dell P2417H 24&quot; - Paul"/>
    <m/>
    <m/>
    <m/>
    <m/>
    <m/>
    <m/>
  </r>
  <r>
    <x v="4"/>
    <x v="0"/>
    <s v="Ben"/>
    <x v="2"/>
    <n v="1000000076"/>
    <m/>
    <x v="0"/>
    <s v="Mornitor Dell P2417H 24&quot; - Ben"/>
    <m/>
    <m/>
    <m/>
    <m/>
    <m/>
    <m/>
  </r>
  <r>
    <x v="5"/>
    <x v="2"/>
    <s v="Saimat, Watcharaporn"/>
    <x v="3"/>
    <n v="1000000080"/>
    <m/>
    <x v="0"/>
    <s v="DELL 24 Monitor P2417H 23.8&quot; - Warehouse (Tik)"/>
    <m/>
    <m/>
    <m/>
    <m/>
    <m/>
    <m/>
  </r>
  <r>
    <x v="6"/>
    <x v="1"/>
    <s v="Zebra Zebra ZT410"/>
    <x v="4"/>
    <s v="1000000277"/>
    <s v="00074D964E2A"/>
    <x v="1"/>
    <s v="Zebra ZT410"/>
    <m/>
    <s v=""/>
    <m/>
    <m/>
    <m/>
    <m/>
  </r>
  <r>
    <x v="7"/>
    <x v="1"/>
    <s v="BOONMAN"/>
    <x v="1"/>
    <n v="1000000083"/>
    <m/>
    <x v="1"/>
    <s v="HP LaserJet M506dn"/>
    <s v="PHCHQ10200"/>
    <s v="P19-493"/>
    <m/>
    <d v="2019-06-19T00:00:00"/>
    <m/>
    <s v="CS-19-015#1000000124"/>
  </r>
  <r>
    <x v="8"/>
    <x v="3"/>
    <s v="sombunt thanadol"/>
    <x v="1"/>
    <n v="1000000085"/>
    <m/>
    <x v="0"/>
    <s v="DELL 24 Monitor P2419H 23.8&quot; Tharadol HR"/>
    <m/>
    <m/>
    <m/>
    <m/>
    <m/>
    <m/>
  </r>
  <r>
    <x v="9"/>
    <x v="1"/>
    <s v="*NOT IN USE* LOST"/>
    <x v="0"/>
    <n v="1000000090"/>
    <s v="*NOT IN USE* LOST"/>
    <x v="1"/>
    <s v="HP LaserJet M506dn"/>
    <s v="PHCHR14467"/>
    <s v="P18-533"/>
    <m/>
    <d v="2018-08-18T00:00:00"/>
    <m/>
    <s v="lost from storage room"/>
  </r>
  <r>
    <x v="10"/>
    <x v="4"/>
    <s v="Arunya "/>
    <x v="5"/>
    <n v="1000000093"/>
    <m/>
    <x v="0"/>
    <s v="DELL 24 Monitor P2417H 23.8&quot; - Aranya"/>
    <m/>
    <m/>
    <m/>
    <m/>
    <m/>
    <m/>
  </r>
  <r>
    <x v="11"/>
    <x v="0"/>
    <m/>
    <x v="0"/>
    <n v="1000000094"/>
    <m/>
    <x v="0"/>
    <s v="Dell24 moitor P2419H23.8&quot; - Server room"/>
    <m/>
    <m/>
    <m/>
    <m/>
    <m/>
    <m/>
  </r>
  <r>
    <x v="12"/>
    <x v="5"/>
    <s v="Garnt (Office sales BKK)"/>
    <x v="2"/>
    <n v="1000000102"/>
    <m/>
    <x v="0"/>
    <s v="Monitor Dell P2419H 23.8&quot;  - Garnt (Office sales BKK) "/>
    <m/>
    <m/>
    <m/>
    <m/>
    <m/>
    <m/>
  </r>
  <r>
    <x v="13"/>
    <x v="6"/>
    <s v="Curley Benjamaporn"/>
    <x v="6"/>
    <n v="1000000104"/>
    <m/>
    <x v="0"/>
    <s v="DELL 24 Monitor P2419H 23.8&quot; - Curley Benjamaporn"/>
    <m/>
    <m/>
    <m/>
    <m/>
    <m/>
    <m/>
  </r>
  <r>
    <x v="13"/>
    <x v="7"/>
    <s v="P' Joy"/>
    <x v="1"/>
    <n v="1000000106"/>
    <m/>
    <x v="0"/>
    <s v="DELL 24 Monitor P2419H 23.8&quot; - P' Joy"/>
    <m/>
    <m/>
    <m/>
    <m/>
    <m/>
    <m/>
  </r>
  <r>
    <x v="13"/>
    <x v="5"/>
    <s v="Garnt (Office sales BKK)"/>
    <x v="2"/>
    <n v="1000000107"/>
    <m/>
    <x v="0"/>
    <s v="DELL 24 Monitor P2419H 23.8&quot; - Garnt (Office sales BKK)"/>
    <m/>
    <m/>
    <m/>
    <m/>
    <m/>
    <m/>
  </r>
  <r>
    <x v="14"/>
    <x v="8"/>
    <s v="Chandee, Ekapun "/>
    <x v="3"/>
    <n v="1000000108"/>
    <m/>
    <x v="0"/>
    <s v="DELL 24 Monitor P2419H 23.8&quot; - Tae"/>
    <m/>
    <m/>
    <m/>
    <m/>
    <m/>
    <m/>
  </r>
  <r>
    <x v="15"/>
    <x v="9"/>
    <s v="Imsaiad, Janjira"/>
    <x v="3"/>
    <n v="1000000112"/>
    <m/>
    <x v="0"/>
    <s v="DELL 24 Monitor P2419H 23.8&quot; - Janjira -WH"/>
    <m/>
    <m/>
    <m/>
    <m/>
    <m/>
    <m/>
  </r>
  <r>
    <x v="16"/>
    <x v="10"/>
    <s v="Joerg"/>
    <x v="7"/>
    <n v="1000000125"/>
    <m/>
    <x v="0"/>
    <s v="DELL 24 Monitor P2419H 23.8&quot; - Joerg"/>
    <m/>
    <m/>
    <m/>
    <m/>
    <m/>
    <m/>
  </r>
  <r>
    <x v="17"/>
    <x v="10"/>
    <s v="Joerg"/>
    <x v="7"/>
    <n v="1000000126"/>
    <m/>
    <x v="0"/>
    <s v="DELL 24 Monitor P2419H 23.8&quot; - Joerg"/>
    <m/>
    <m/>
    <m/>
    <m/>
    <m/>
    <m/>
  </r>
  <r>
    <x v="18"/>
    <x v="6"/>
    <s v="Curley Benjamaporn"/>
    <x v="6"/>
    <n v="1000000127"/>
    <m/>
    <x v="0"/>
    <s v="DELL 24 Monitor P2419H 23.8&quot; - Curley Benjamaporn"/>
    <m/>
    <m/>
    <m/>
    <m/>
    <m/>
    <m/>
  </r>
  <r>
    <x v="19"/>
    <x v="11"/>
    <s v="SCHRICKR"/>
    <x v="6"/>
    <s v="NA"/>
    <s v="SCHRICKR"/>
    <x v="2"/>
    <s v="SIMATIC Field PG M5"/>
    <s v="H8958585"/>
    <s v="moved to NZ 06/2023"/>
    <m/>
    <s v="NA"/>
    <s v="NA"/>
    <s v="Ralf moved his Laptop to HNZ"/>
  </r>
  <r>
    <x v="20"/>
    <x v="12"/>
    <s v="Pitakum, Kannithi"/>
    <x v="7"/>
    <n v="1000000131"/>
    <m/>
    <x v="0"/>
    <s v="DELL 24 Monitor P2419H 23.8 - Pitakum, Kannithi"/>
    <m/>
    <m/>
    <m/>
    <m/>
    <m/>
    <m/>
  </r>
  <r>
    <x v="21"/>
    <x v="13"/>
    <s v="DOYLEA"/>
    <x v="8"/>
    <s v="NA"/>
    <s v="DOYLEA"/>
    <x v="2"/>
    <s v="HP EliteBook 840 G5"/>
    <s v="5CG9100N9M"/>
    <s v="P19-309"/>
    <m/>
    <d v="2019-04-20T00:00:00"/>
    <d v="2024-04-25T00:00:00"/>
    <s v="Adam moved his Laptop to HNZ"/>
  </r>
  <r>
    <x v="22"/>
    <x v="14"/>
    <s v="Jan"/>
    <x v="6"/>
    <n v="1000000133"/>
    <m/>
    <x v="0"/>
    <s v="DELL 24 Monitor P2419H 23.8&quot; - Jan"/>
    <m/>
    <m/>
    <m/>
    <m/>
    <m/>
    <m/>
  </r>
  <r>
    <x v="23"/>
    <x v="14"/>
    <s v="Jan"/>
    <x v="6"/>
    <n v="1000000134"/>
    <m/>
    <x v="0"/>
    <s v="DELL 24 Monitor P2419H 23.8&quot; - Jan"/>
    <m/>
    <m/>
    <m/>
    <m/>
    <m/>
    <m/>
  </r>
  <r>
    <x v="24"/>
    <x v="15"/>
    <s v="Kanda"/>
    <x v="5"/>
    <n v="1000000135"/>
    <m/>
    <x v="0"/>
    <s v="DELL 24 Monitor P2419H 23.8&quot; - Kanda"/>
    <m/>
    <m/>
    <m/>
    <m/>
    <m/>
    <m/>
  </r>
  <r>
    <x v="25"/>
    <x v="16"/>
    <s v="Boonma, Nisarat"/>
    <x v="5"/>
    <n v="1000000191"/>
    <m/>
    <x v="0"/>
    <s v="DELL 24 Monitor P2419H 23.8 - Biw Accountant"/>
    <m/>
    <m/>
    <m/>
    <m/>
    <m/>
    <m/>
  </r>
  <r>
    <x v="26"/>
    <x v="17"/>
    <s v="Pui Accountant"/>
    <x v="5"/>
    <n v="1000000192"/>
    <m/>
    <x v="0"/>
    <s v="DELL 24 Monitor P2419H 23.8 - Pui Accountant"/>
    <m/>
    <m/>
    <m/>
    <m/>
    <m/>
    <m/>
  </r>
  <r>
    <x v="27"/>
    <x v="18"/>
    <s v="Phinyapat Baotham"/>
    <x v="3"/>
    <n v="1000000193"/>
    <m/>
    <x v="0"/>
    <s v="DELL 24 Monitor P2419H 23.8 - Phinyapat WH"/>
    <m/>
    <m/>
    <m/>
    <m/>
    <m/>
    <m/>
  </r>
  <r>
    <x v="28"/>
    <x v="19"/>
    <s v="Thanyathon Ruttanakul "/>
    <x v="3"/>
    <n v="1000000194"/>
    <m/>
    <x v="0"/>
    <s v="DELL 24 Monitor P2419H 23.8 - Tuk WH"/>
    <m/>
    <m/>
    <m/>
    <m/>
    <m/>
    <m/>
  </r>
  <r>
    <x v="29"/>
    <x v="20"/>
    <s v="Udorn"/>
    <x v="9"/>
    <n v="1000000195"/>
    <m/>
    <x v="0"/>
    <s v="DELL 24 Monitor P2419H 23.8 - QA MANAGER"/>
    <m/>
    <m/>
    <m/>
    <m/>
    <m/>
    <m/>
  </r>
  <r>
    <x v="30"/>
    <x v="8"/>
    <s v="Chandee, Ekapun "/>
    <x v="3"/>
    <n v="1000000196"/>
    <m/>
    <x v="0"/>
    <s v="DELL 24 Monitor P2419H 23.8 - Tae"/>
    <m/>
    <m/>
    <m/>
    <m/>
    <m/>
    <m/>
  </r>
  <r>
    <x v="31"/>
    <x v="17"/>
    <s v="Pui Accountant"/>
    <x v="5"/>
    <n v="1000000197"/>
    <m/>
    <x v="0"/>
    <s v="DELL 24 Monitor P2419H 23.8 - Pui Accountant"/>
    <m/>
    <m/>
    <m/>
    <m/>
    <m/>
    <m/>
  </r>
  <r>
    <x v="32"/>
    <x v="21"/>
    <s v="YOTEEP"/>
    <x v="10"/>
    <n v="1000000198"/>
    <m/>
    <x v="0"/>
    <s v="DELL 24 Monitor P2419H 23.8 - Pimlada Yatee"/>
    <m/>
    <m/>
    <m/>
    <m/>
    <m/>
    <m/>
  </r>
  <r>
    <x v="33"/>
    <x v="4"/>
    <s v="Arunya "/>
    <x v="5"/>
    <n v="1000000199"/>
    <m/>
    <x v="0"/>
    <s v="DELL 24 Monitor P2419H 23.8 - Arunya Accountant"/>
    <m/>
    <m/>
    <m/>
    <m/>
    <m/>
    <m/>
  </r>
  <r>
    <x v="34"/>
    <x v="22"/>
    <s v="Phoophanporn, Natthawimon"/>
    <x v="11"/>
    <n v="1000000200"/>
    <m/>
    <x v="0"/>
    <s v="DELL 24 Monitor P2419H 23.8 Phoophanporn, Natthawimon"/>
    <m/>
    <m/>
    <m/>
    <m/>
    <m/>
    <m/>
  </r>
  <r>
    <x v="35"/>
    <x v="22"/>
    <s v="Phoophanporn, Natthawimon"/>
    <x v="11"/>
    <n v="1000000201"/>
    <m/>
    <x v="0"/>
    <s v="DELL 24 Monitor P2419H 23.8 ; Phoophanporn, Natthawimon"/>
    <m/>
    <m/>
    <m/>
    <m/>
    <m/>
    <m/>
  </r>
  <r>
    <x v="36"/>
    <x v="23"/>
    <s v="Jaruwit"/>
    <x v="11"/>
    <n v="1000000202"/>
    <m/>
    <x v="0"/>
    <s v="DELL 24 Monitor P2419H 23.8 - Jaruwit"/>
    <m/>
    <m/>
    <m/>
    <m/>
    <m/>
    <m/>
  </r>
  <r>
    <x v="37"/>
    <x v="24"/>
    <s v="Sebastian"/>
    <x v="6"/>
    <n v="1000000203"/>
    <m/>
    <x v="0"/>
    <s v="DELL 24 Monitor P2419H 23.8 - Sebastian"/>
    <m/>
    <m/>
    <m/>
    <m/>
    <m/>
    <m/>
  </r>
  <r>
    <x v="38"/>
    <x v="7"/>
    <s v="P' Joy"/>
    <x v="1"/>
    <n v="1000000204"/>
    <m/>
    <x v="0"/>
    <s v="DELL 24 Monitor P2419H 23.8 - P' Joy"/>
    <m/>
    <m/>
    <m/>
    <m/>
    <m/>
    <m/>
  </r>
  <r>
    <x v="39"/>
    <x v="16"/>
    <s v="Accounting"/>
    <x v="5"/>
    <n v="1000000205"/>
    <m/>
    <x v="0"/>
    <m/>
    <s v=" "/>
    <s v=" "/>
    <s v=" "/>
    <s v=" "/>
    <s v=" "/>
    <s v=" "/>
  </r>
  <r>
    <x v="40"/>
    <x v="16"/>
    <s v="Boonma, Nisarat"/>
    <x v="5"/>
    <n v="1000000217"/>
    <m/>
    <x v="0"/>
    <s v="DELL 24 Monitor P2419H 23.8 - Biw Accountant"/>
    <m/>
    <m/>
    <m/>
    <m/>
    <m/>
    <m/>
  </r>
  <r>
    <x v="41"/>
    <x v="16"/>
    <s v="Accounting"/>
    <x v="5"/>
    <n v="1000000218"/>
    <m/>
    <x v="0"/>
    <s v="DELL 24 Monitor P2419H 23.8 - Accounting"/>
    <m/>
    <m/>
    <m/>
    <m/>
    <m/>
    <m/>
  </r>
  <r>
    <x v="42"/>
    <x v="21"/>
    <s v="YOTEEP"/>
    <x v="10"/>
    <n v="1000000219"/>
    <m/>
    <x v="0"/>
    <s v="DELL 24 Monitor P2419H 23.8  - Pimlada Yatee"/>
    <m/>
    <m/>
    <m/>
    <m/>
    <m/>
    <m/>
  </r>
  <r>
    <x v="43"/>
    <x v="25"/>
    <s v="Thanyathon Ruttanakul"/>
    <x v="12"/>
    <n v="1000000220"/>
    <m/>
    <x v="0"/>
    <s v="DELL 24 Monitor P2419H 23.8 - Tuk WH"/>
    <m/>
    <m/>
    <m/>
    <m/>
    <m/>
    <m/>
  </r>
  <r>
    <x v="44"/>
    <x v="24"/>
    <s v="Sebastian"/>
    <x v="6"/>
    <n v="1000000224"/>
    <m/>
    <x v="0"/>
    <s v="DELL 24 Monitor P2419H 23.8 - Sebastian"/>
    <m/>
    <m/>
    <m/>
    <m/>
    <m/>
    <m/>
  </r>
  <r>
    <x v="45"/>
    <x v="15"/>
    <s v="Kanda"/>
    <x v="5"/>
    <n v="1000000225"/>
    <m/>
    <x v="0"/>
    <s v="DELL 24 Monitor P2419H 23.8 - Kanda"/>
    <m/>
    <m/>
    <m/>
    <m/>
    <m/>
    <m/>
  </r>
  <r>
    <x v="46"/>
    <x v="26"/>
    <s v="Grant"/>
    <x v="2"/>
    <n v="1000000226"/>
    <m/>
    <x v="0"/>
    <s v="DELL 24 Monitor P2419H 23.8 - Grant"/>
    <m/>
    <m/>
    <m/>
    <m/>
    <m/>
    <m/>
  </r>
  <r>
    <x v="47"/>
    <x v="27"/>
    <s v="หลังมาวิน"/>
    <x v="13"/>
    <n v="1000000227"/>
    <m/>
    <x v="0"/>
    <s v="DELL 24 Monitor P2419H 23.8 - Svenja"/>
    <m/>
    <m/>
    <m/>
    <m/>
    <m/>
    <m/>
  </r>
  <r>
    <x v="48"/>
    <x v="28"/>
    <s v="Vladimir (Office sales BKK)"/>
    <x v="0"/>
    <n v="1000000328"/>
    <m/>
    <x v="0"/>
    <s v="DELL 24 Monitor P2419H 23.8 Inch -  Vladimir (Office sales BKK)"/>
    <m/>
    <m/>
    <m/>
    <m/>
    <m/>
    <m/>
  </r>
  <r>
    <x v="49"/>
    <x v="29"/>
    <s v="Sebustiain"/>
    <x v="6"/>
    <s v="CS-17-004"/>
    <s v="Sebustiain"/>
    <x v="2"/>
    <s v="HP Elitebook840G3 -I5-6300U "/>
    <s v="NA"/>
    <s v="NA"/>
    <m/>
    <d v="2017-09-01T00:00:00"/>
    <d v="2022-09-01T00:00:00"/>
    <s v="check by oat belong at Sebastian"/>
  </r>
  <r>
    <x v="50"/>
    <x v="30"/>
    <s v="Onglertpranee, Thanatjee"/>
    <x v="7"/>
    <n v="1000000331"/>
    <m/>
    <x v="0"/>
    <s v="DELL 24 Monitor P2419H 23.8 Inch -  Onglertpranee, Thanatjee"/>
    <m/>
    <m/>
    <m/>
    <m/>
    <m/>
    <m/>
  </r>
  <r>
    <x v="51"/>
    <x v="9"/>
    <s v="Imsaiad, Janjira"/>
    <x v="3"/>
    <n v="1000000343"/>
    <m/>
    <x v="0"/>
    <s v="DELL 24 Monitor P2419H 23.8 Inch - Janjira-WH"/>
    <m/>
    <m/>
    <m/>
    <m/>
    <m/>
    <m/>
  </r>
  <r>
    <x v="52"/>
    <x v="12"/>
    <s v="Pitakum, Kannithi"/>
    <x v="7"/>
    <n v="1000000344"/>
    <m/>
    <x v="0"/>
    <s v="DELL 24 Monitor P2419H 23.8- Pitakum, Kannithi"/>
    <m/>
    <m/>
    <m/>
    <m/>
    <m/>
    <m/>
  </r>
  <r>
    <x v="53"/>
    <x v="27"/>
    <s v="หลังมาวิน"/>
    <x v="13"/>
    <n v="1000000359"/>
    <m/>
    <x v="0"/>
    <s v="DELL 24 Monitor P2419H 23.8 Inch -  Vuthinan "/>
    <m/>
    <m/>
    <m/>
    <m/>
    <m/>
    <m/>
  </r>
  <r>
    <x v="54"/>
    <x v="31"/>
    <s v="Pond"/>
    <x v="11"/>
    <n v="1000000368"/>
    <m/>
    <x v="0"/>
    <s v="DELL 24 Professional  Monitor P2419H 23.8 Inch - Pond"/>
    <m/>
    <m/>
    <m/>
    <m/>
    <m/>
    <m/>
  </r>
  <r>
    <x v="55"/>
    <x v="31"/>
    <s v="Pond"/>
    <x v="11"/>
    <n v="1000000369"/>
    <m/>
    <x v="0"/>
    <s v="DELL 24 Professional  Monitor P2419H 23.8 Inch - Pond"/>
    <m/>
    <m/>
    <m/>
    <m/>
    <m/>
    <m/>
  </r>
  <r>
    <x v="56"/>
    <x v="32"/>
    <s v="Supawat IT"/>
    <x v="13"/>
    <n v="1000000381"/>
    <m/>
    <x v="0"/>
    <s v="DELL 24 Professional  Monitor P2422H 23.8 Inch - Supawat IT"/>
    <m/>
    <m/>
    <m/>
    <m/>
    <m/>
    <m/>
  </r>
  <r>
    <x v="57"/>
    <x v="32"/>
    <s v="Supawat IT"/>
    <x v="13"/>
    <n v="1000000382"/>
    <m/>
    <x v="0"/>
    <s v="DELL 24 Professional  Monitor P2422H 23.8 Inch - Supawat IT"/>
    <m/>
    <m/>
    <m/>
    <m/>
    <m/>
    <m/>
  </r>
  <r>
    <x v="58"/>
    <x v="28"/>
    <s v="Vuttinan (Office sales BKK)"/>
    <x v="0"/>
    <n v="1000000409"/>
    <m/>
    <x v="0"/>
    <s v="DELL 24 Monitor P2422H  - Spare- Vuttinan (Office sales BKK)"/>
    <m/>
    <m/>
    <m/>
    <m/>
    <m/>
    <m/>
  </r>
  <r>
    <x v="59"/>
    <x v="33"/>
    <s v="Dhanusri, Insupang"/>
    <x v="7"/>
    <n v="1000000410"/>
    <s v="ข้างปุ้ย"/>
    <x v="0"/>
    <s v="DELL 24 Monitor P2422H  -  Ott"/>
    <m/>
    <m/>
    <m/>
    <m/>
    <m/>
    <m/>
  </r>
  <r>
    <x v="60"/>
    <x v="34"/>
    <s v="Nurrulphittri Thamrongsab"/>
    <x v="10"/>
    <n v="1000000411"/>
    <m/>
    <x v="0"/>
    <s v="DELL 24 Monitor P2422H  - Purchasing -Kanokporn"/>
    <m/>
    <m/>
    <m/>
    <m/>
    <m/>
    <m/>
  </r>
  <r>
    <x v="61"/>
    <x v="34"/>
    <s v="Nurrulphittri Thamrongsab"/>
    <x v="10"/>
    <n v="1000000412"/>
    <m/>
    <x v="0"/>
    <s v="DELL 24 Monitor P2422H  -  Purchasing -Kanokporn"/>
    <m/>
    <m/>
    <m/>
    <m/>
    <m/>
    <m/>
  </r>
  <r>
    <x v="62"/>
    <x v="35"/>
    <s v="Jiramet Markphan"/>
    <x v="10"/>
    <n v="1000000413"/>
    <m/>
    <x v="0"/>
    <s v="DELL 24 Monitor P2422H  -Jiramate "/>
    <m/>
    <m/>
    <m/>
    <m/>
    <m/>
    <m/>
  </r>
  <r>
    <x v="63"/>
    <x v="36"/>
    <s v="PANKEAWW"/>
    <x v="14"/>
    <s v="ITE-23-022"/>
    <s v="PANKEAWW"/>
    <x v="2"/>
    <s v="HP EliteBook 640 G10 UMA i7-1355U "/>
    <s v="5CD3225T6G"/>
    <n v="4501277397"/>
    <m/>
    <d v="2023-07-23T00:00:00"/>
    <d v="2028-07-23T00:00:00"/>
    <s v="spare in Server room (21.12.2023)"/>
  </r>
  <r>
    <x v="64"/>
    <x v="0"/>
    <s v="Mandy"/>
    <x v="0"/>
    <n v="1000000415"/>
    <m/>
    <x v="0"/>
    <s v="DELL 24 Monitor P2422H  - ข้าง Marvin"/>
    <m/>
    <m/>
    <m/>
    <m/>
    <m/>
    <m/>
  </r>
  <r>
    <x v="65"/>
    <x v="1"/>
    <s v="WAREHOUSE No.2"/>
    <x v="3"/>
    <n v="1000000505"/>
    <s v="WAREHOUSE"/>
    <x v="1"/>
    <s v="HP Color LaserJet Pro MFP M479fdw"/>
    <s v="CNCRP8N5DB"/>
    <s v="NA"/>
    <m/>
    <d v="2022-02-11T00:00:00"/>
    <s v="NA"/>
    <s v="ITE-22-006#'1000000505"/>
  </r>
  <r>
    <x v="66"/>
    <x v="37"/>
    <s v="Pittakhu, Tanawut "/>
    <x v="3"/>
    <n v="1000000637"/>
    <m/>
    <x v="0"/>
    <s v="DELL 24 Monitor P2422H  - Thanawut WH"/>
    <m/>
    <m/>
    <m/>
    <m/>
    <m/>
    <m/>
  </r>
  <r>
    <x v="67"/>
    <x v="37"/>
    <s v="Pittakhu, Tanawut "/>
    <x v="3"/>
    <n v="1000000638"/>
    <m/>
    <x v="0"/>
    <s v="DELL 24 Monitor P2422H  - Thanawut WH"/>
    <m/>
    <m/>
    <m/>
    <m/>
    <m/>
    <m/>
  </r>
  <r>
    <x v="68"/>
    <x v="38"/>
    <s v="BoonsonC"/>
    <x v="14"/>
    <s v="ITE-23-023"/>
    <s v="BoonsonC"/>
    <x v="2"/>
    <s v="HP EliteBook 640 G10 UMA i7-1355U "/>
    <s v="5CD3225T6H"/>
    <n v="4501277397"/>
    <m/>
    <d v="2023-07-23T00:00:00"/>
    <d v="2028-07-23T00:00:00"/>
    <m/>
  </r>
  <r>
    <x v="69"/>
    <x v="39"/>
    <s v="BiswasSa"/>
    <x v="14"/>
    <s v="1000001072   ITE-25-003                                                      "/>
    <s v="BiswasSa"/>
    <x v="2"/>
    <s v="HP Fury 16 G11"/>
    <s v="5CG5222Q15"/>
    <n v="4501580024"/>
    <s v="IT68070165"/>
    <d v="2025-07-17T00:00:00"/>
    <m/>
    <m/>
  </r>
  <r>
    <x v="70"/>
    <x v="35"/>
    <s v="Jiramet Markphan"/>
    <x v="10"/>
    <n v="1000000673"/>
    <m/>
    <x v="0"/>
    <s v="DELL 24 Monitor P2422H  - Jiramate "/>
    <m/>
    <m/>
    <m/>
    <m/>
    <m/>
    <m/>
  </r>
  <r>
    <x v="71"/>
    <x v="40"/>
    <s v="wajiphum.wutthiphong"/>
    <x v="4"/>
    <s v="1000001100  ITE-25-021"/>
    <s v="WORKSHOP"/>
    <x v="2"/>
    <s v="HP Fury 16 G11 Base NB PC : MAC: F8EDFCB4F7AE"/>
    <s v="5CG52531BL"/>
    <n v="4501592627"/>
    <s v="IT68070166"/>
    <d v="2025-07-17T00:00:00"/>
    <m/>
    <m/>
  </r>
  <r>
    <x v="72"/>
    <x v="23"/>
    <s v="Jaruwit"/>
    <x v="11"/>
    <n v="1000000679"/>
    <m/>
    <x v="0"/>
    <s v="DELL 24 Monitor P2422H 23.8 - Jaruwit"/>
    <m/>
    <m/>
    <m/>
    <m/>
    <m/>
    <m/>
  </r>
  <r>
    <x v="73"/>
    <x v="41"/>
    <s v="Watthanachai Purchase"/>
    <x v="10"/>
    <n v="1000000680"/>
    <m/>
    <x v="0"/>
    <s v="DELL 24 Monitor P2422H - Watthanachai Purchase"/>
    <m/>
    <m/>
    <m/>
    <m/>
    <m/>
    <m/>
  </r>
  <r>
    <x v="74"/>
    <x v="0"/>
    <s v="โต๊ะ แถว 2  ตรงข้าง Sebastian"/>
    <x v="0"/>
    <n v="1000000681"/>
    <m/>
    <x v="0"/>
    <s v="DELL 24 Monitor P2422H - โต๊ะ แถว 2  ตรงข้าง Sebastian"/>
    <m/>
    <m/>
    <m/>
    <m/>
    <m/>
    <m/>
  </r>
  <r>
    <x v="75"/>
    <x v="0"/>
    <s v="หาไม่เจอxxxxx"/>
    <x v="0"/>
    <n v="1000000682"/>
    <m/>
    <x v="0"/>
    <s v="DELL 24 Monitor P2422H - หาไม่เจอxxxxxx"/>
    <m/>
    <m/>
    <m/>
    <m/>
    <m/>
    <m/>
  </r>
  <r>
    <x v="76"/>
    <x v="3"/>
    <s v="sombunt thanadol"/>
    <x v="1"/>
    <n v="1000000683"/>
    <m/>
    <x v="0"/>
    <s v="DELL 24 Monitor P2422H -sombunt thanadol"/>
    <m/>
    <m/>
    <m/>
    <m/>
    <m/>
    <m/>
  </r>
  <r>
    <x v="77"/>
    <x v="42"/>
    <s v="Jomchai VMT Office 2nd floor"/>
    <x v="0"/>
    <n v="1000000684"/>
    <m/>
    <x v="0"/>
    <s v="DELL 24 Monitor P2422H - Jomchai VMT Office 2nd floor"/>
    <m/>
    <m/>
    <m/>
    <m/>
    <m/>
    <m/>
  </r>
  <r>
    <x v="78"/>
    <x v="1"/>
    <s v="JOERG office (old AM home office)"/>
    <x v="7"/>
    <n v="1000000726"/>
    <s v="HP Color LaserJet Pro MFP M183fw"/>
    <x v="1"/>
    <s v="HP Color LaserJet MFP M183fw"/>
    <m/>
    <m/>
    <m/>
    <m/>
    <s v="CS-20-010#1000000206"/>
    <s v="moved to Joerg office (16.01.2024)"/>
  </r>
  <r>
    <x v="79"/>
    <x v="43"/>
    <s v="Kraiwas, Wachirawit"/>
    <x v="3"/>
    <n v="1000000767"/>
    <m/>
    <x v="0"/>
    <s v="DELL 24 Monitor P2422H  - Warehouse (Nick) "/>
    <m/>
    <m/>
    <m/>
    <m/>
    <m/>
    <m/>
  </r>
  <r>
    <x v="80"/>
    <x v="43"/>
    <s v="Kraiwas, Wachirawit"/>
    <x v="3"/>
    <n v="1000000768"/>
    <m/>
    <x v="0"/>
    <s v="DELL 24 Monitor P2422H  - Warehouse (Nick) "/>
    <m/>
    <m/>
    <m/>
    <m/>
    <m/>
    <m/>
  </r>
  <r>
    <x v="81"/>
    <x v="44"/>
    <s v="Montree QC"/>
    <x v="9"/>
    <n v="1000000898"/>
    <m/>
    <x v="0"/>
    <s v="Dell Professional Monitor - P2422H  - Montree QC"/>
    <m/>
    <m/>
    <m/>
    <m/>
    <m/>
    <m/>
  </r>
  <r>
    <x v="82"/>
    <x v="44"/>
    <s v="Montree QC"/>
    <x v="9"/>
    <n v="1000000899"/>
    <m/>
    <x v="0"/>
    <s v="Dell Professional Monitor - P2422H  -Montree QC"/>
    <m/>
    <m/>
    <m/>
    <m/>
    <m/>
    <m/>
  </r>
  <r>
    <x v="83"/>
    <x v="39"/>
    <s v="Santu"/>
    <x v="6"/>
    <n v="1000000900"/>
    <m/>
    <x v="0"/>
    <s v="Dell Professional Monitor - P2422H  - Santu"/>
    <m/>
    <m/>
    <m/>
    <m/>
    <m/>
    <m/>
  </r>
  <r>
    <x v="84"/>
    <x v="45"/>
    <s v="Siriluk Safety"/>
    <x v="9"/>
    <n v="1000000901"/>
    <m/>
    <x v="0"/>
    <s v="Dell Professional Monitor - P2422H  - Siriluk Safety"/>
    <m/>
    <m/>
    <m/>
    <m/>
    <m/>
    <m/>
  </r>
  <r>
    <x v="85"/>
    <x v="46"/>
    <s v="Ked"/>
    <x v="5"/>
    <n v="1000000902"/>
    <m/>
    <x v="0"/>
    <s v="Dell Professional Monitor - P2422H  - Ked"/>
    <m/>
    <m/>
    <m/>
    <m/>
    <m/>
    <m/>
  </r>
  <r>
    <x v="86"/>
    <x v="46"/>
    <s v="Ked"/>
    <x v="5"/>
    <n v="1000000903"/>
    <m/>
    <x v="0"/>
    <s v="Dell Professional Monitor - P2422H  - Ked"/>
    <m/>
    <m/>
    <m/>
    <m/>
    <m/>
    <m/>
  </r>
  <r>
    <x v="87"/>
    <x v="20"/>
    <s v="Udorn"/>
    <x v="9"/>
    <n v="1000000904"/>
    <m/>
    <x v="0"/>
    <s v="Dell Professional Monitor - P2422H  - Udorn"/>
    <m/>
    <m/>
    <m/>
    <m/>
    <m/>
    <m/>
  </r>
  <r>
    <x v="88"/>
    <x v="39"/>
    <s v="Santu"/>
    <x v="6"/>
    <n v="1000000905"/>
    <m/>
    <x v="0"/>
    <s v="Dell Professional Monitor - P2422H  - Santu"/>
    <m/>
    <m/>
    <m/>
    <m/>
    <m/>
    <m/>
  </r>
  <r>
    <x v="89"/>
    <x v="45"/>
    <s v="Siriluk Safety"/>
    <x v="9"/>
    <n v="1000000906"/>
    <m/>
    <x v="0"/>
    <s v="Dell Professional Monitor - P2422H  - Siriluk Safety"/>
    <m/>
    <m/>
    <m/>
    <m/>
    <m/>
    <m/>
  </r>
  <r>
    <x v="90"/>
    <x v="0"/>
    <m/>
    <x v="0"/>
    <n v="1000000907"/>
    <m/>
    <x v="0"/>
    <s v="Dell Professional Monitor - P2422H  - Spare"/>
    <m/>
    <m/>
    <m/>
    <m/>
    <m/>
    <m/>
  </r>
  <r>
    <x v="91"/>
    <x v="30"/>
    <s v="Onglertpranee, Thanatjee"/>
    <x v="7"/>
    <n v="1000000944"/>
    <m/>
    <x v="0"/>
    <s v="DELL Professional Monitor P2422H - HR-JESS"/>
    <m/>
    <m/>
    <m/>
    <m/>
    <m/>
    <m/>
  </r>
  <r>
    <x v="92"/>
    <x v="18"/>
    <s v="Phinyapat Baotham"/>
    <x v="3"/>
    <n v="1000000945"/>
    <m/>
    <x v="0"/>
    <s v="DELL Professional Monitor P2422H - Phinyapat WH"/>
    <m/>
    <m/>
    <m/>
    <m/>
    <m/>
    <m/>
  </r>
  <r>
    <x v="93"/>
    <x v="47"/>
    <s v="ThaiyaiJ"/>
    <x v="1"/>
    <n v="1000000946"/>
    <s v="ThaiyaiJ"/>
    <x v="0"/>
    <s v="DELL Professional Monitor P2422H - Jeeranan HR"/>
    <m/>
    <m/>
    <m/>
    <m/>
    <m/>
    <m/>
  </r>
  <r>
    <x v="94"/>
    <x v="47"/>
    <s v="ThaiyaiJ"/>
    <x v="1"/>
    <n v="1000000947"/>
    <s v="ThaiyaiJ"/>
    <x v="0"/>
    <s v="DELL Professional Monitor P2422H - Jeeranan HR"/>
    <m/>
    <m/>
    <m/>
    <m/>
    <m/>
    <m/>
  </r>
  <r>
    <x v="95"/>
    <x v="41"/>
    <s v="Watthanachai Purchasing"/>
    <x v="10"/>
    <n v="1000000948"/>
    <m/>
    <x v="0"/>
    <s v="DELL Professional Monitor P2422H - Watthanachai Purchasing"/>
    <m/>
    <m/>
    <m/>
    <m/>
    <m/>
    <m/>
  </r>
  <r>
    <x v="96"/>
    <x v="48"/>
    <s v="Kampun, Anupong"/>
    <x v="4"/>
    <s v="1000001155  ITE-25-024"/>
    <s v="WORKSHOP"/>
    <x v="2"/>
    <s v="HP EleteBook 665 G11"/>
    <s v="1H85392H2Q"/>
    <s v="PR:13005855"/>
    <m/>
    <d v="2025-08-29T00:00:00"/>
    <m/>
    <m/>
  </r>
  <r>
    <x v="97"/>
    <x v="49"/>
    <s v="LOETZERS"/>
    <x v="11"/>
    <s v="CS-18-011"/>
    <s v="LOETZERS"/>
    <x v="3"/>
    <s v="HP EliteBook 840 G5"/>
    <s v="5CG0490L4T"/>
    <s v="NA"/>
    <m/>
    <s v="02/21"/>
    <d v="2026-02-26T00:00:00"/>
    <m/>
  </r>
  <r>
    <x v="98"/>
    <x v="50"/>
    <s v="PENNB"/>
    <x v="2"/>
    <s v="CS-18-001"/>
    <s v="PENNB"/>
    <x v="3"/>
    <s v="HP EliteBook 840 G3"/>
    <s v="5CG8080YF6"/>
    <s v="P18-092"/>
    <m/>
    <d v="2018-02-18T00:00:00"/>
    <d v="2023-02-23T00:00:00"/>
    <m/>
  </r>
  <r>
    <x v="99"/>
    <x v="51"/>
    <s v="hk\s_workshop_drawing_v"/>
    <x v="4"/>
    <s v="ITE-20-007"/>
    <s v="WORKSHOP"/>
    <x v="4"/>
    <m/>
    <m/>
    <m/>
    <m/>
    <m/>
    <m/>
    <m/>
  </r>
  <r>
    <x v="100"/>
    <x v="52"/>
    <s v="Pannawat"/>
    <x v="11"/>
    <n v="1000001002"/>
    <m/>
    <x v="0"/>
    <s v="DELL 24'' MONITOR P2425H - Pannawat"/>
    <m/>
    <m/>
    <m/>
    <m/>
    <m/>
    <m/>
  </r>
  <r>
    <x v="101"/>
    <x v="52"/>
    <s v="Pannawat"/>
    <x v="11"/>
    <n v="1000001003"/>
    <m/>
    <x v="0"/>
    <s v="DELL 24'' MONITOR P2425H - Pannawat"/>
    <m/>
    <m/>
    <m/>
    <m/>
    <m/>
    <m/>
  </r>
  <r>
    <x v="102"/>
    <x v="0"/>
    <s v="Mulic  contianer office 2nd floor"/>
    <x v="6"/>
    <n v="1000001004"/>
    <m/>
    <x v="0"/>
    <s v="DELL 24'' MONITOR P2425H - Mulic  contianer office 2nd floor"/>
    <m/>
    <m/>
    <m/>
    <m/>
    <m/>
    <m/>
  </r>
  <r>
    <x v="103"/>
    <x v="0"/>
    <s v="Mulic  contianer office 2nd floor"/>
    <x v="6"/>
    <n v="1000001005"/>
    <m/>
    <x v="0"/>
    <s v="DELL 24'' MONITOR P2425H - Mulic  contianer office 2nd floor"/>
    <m/>
    <m/>
    <m/>
    <m/>
    <m/>
    <m/>
  </r>
  <r>
    <x v="104"/>
    <x v="53"/>
    <s v="Weena Sagri"/>
    <x v="4"/>
    <n v="1000000082"/>
    <m/>
    <x v="0"/>
    <s v="DELL 24 Monitor P2417H 23.8&quot;  CS-18-003"/>
    <m/>
    <m/>
    <m/>
    <m/>
    <m/>
    <m/>
  </r>
  <r>
    <x v="105"/>
    <x v="54"/>
    <s v="Wukson  Grant"/>
    <x v="2"/>
    <n v="1000001021"/>
    <m/>
    <x v="0"/>
    <s v="DELL 24'' MONITOR P2425H - Wukson  Grant"/>
    <m/>
    <m/>
    <m/>
    <m/>
    <m/>
    <m/>
  </r>
  <r>
    <x v="106"/>
    <x v="55"/>
    <s v="John, Juergen"/>
    <x v="4"/>
    <n v="1000000128"/>
    <m/>
    <x v="0"/>
    <s v="DELL 24 Monitor P2419H 23.8&quot; - John"/>
    <m/>
    <m/>
    <m/>
    <m/>
    <m/>
    <m/>
  </r>
  <r>
    <x v="107"/>
    <x v="1"/>
    <s v="MAIN OFFICE"/>
    <x v="1"/>
    <s v="1000000089"/>
    <s v="MAIN OFFICE"/>
    <x v="1"/>
    <s v="Konica BH C258"/>
    <s v="A7R0047006082"/>
    <s v="P18-531"/>
    <m/>
    <d v="2018-08-01T00:00:00"/>
    <s v="CS-18-009#1000000089"/>
    <m/>
  </r>
  <r>
    <x v="108"/>
    <x v="1"/>
    <s v="Zebra Zebra ZT230"/>
    <x v="3"/>
    <s v="1000000095"/>
    <s v=""/>
    <x v="1"/>
    <s v="Zebra ZT230"/>
    <m/>
    <s v="52J181600049"/>
    <m/>
    <m/>
    <m/>
    <m/>
  </r>
  <r>
    <x v="109"/>
    <x v="1"/>
    <s v="SAKSRICA"/>
    <x v="5"/>
    <s v="1000000124"/>
    <s v="ED-OFFICE"/>
    <x v="1"/>
    <s v="HP LaserJet M506dn"/>
    <s v="PHCHQ07337"/>
    <s v="P18-285"/>
    <m/>
    <d v="2018-05-18T00:00:00"/>
    <s v="CS-19-015#1000000124"/>
    <m/>
  </r>
  <r>
    <x v="110"/>
    <x v="1"/>
    <s v="JOHNJUE"/>
    <x v="13"/>
    <s v="1000000206"/>
    <s v="JOHN OFFICE"/>
    <x v="1"/>
    <s v="HP LaserJet M507dn"/>
    <m/>
    <s v="P20-038"/>
    <m/>
    <d v="2020-01-20T00:00:00"/>
    <s v="CS-20-010#1000000206"/>
    <m/>
  </r>
  <r>
    <x v="111"/>
    <x v="1"/>
    <s v="Zebra Zebra ZT410"/>
    <x v="3"/>
    <s v="1000000276"/>
    <s v="00074D964CD6"/>
    <x v="1"/>
    <s v="Zebra ZT410"/>
    <m/>
    <s v=""/>
    <m/>
    <m/>
    <m/>
    <m/>
  </r>
  <r>
    <x v="112"/>
    <x v="55"/>
    <s v="John, Juergen"/>
    <x v="4"/>
    <n v="1000000132"/>
    <m/>
    <x v="0"/>
    <s v="DELL 24 Monitor P2419H 23.8&quot; - Jürgen John"/>
    <m/>
    <m/>
    <m/>
    <m/>
    <m/>
    <m/>
  </r>
  <r>
    <x v="113"/>
    <x v="1"/>
    <s v="MAIN OFFICE"/>
    <x v="1"/>
    <s v="1000000401"/>
    <s v="MAIN OFFICE"/>
    <x v="1"/>
    <s v="HP DesignJet T650 36-in"/>
    <s v="CN1973M063"/>
    <n v="4501055196"/>
    <m/>
    <d v="2021-11-02T00:00:00"/>
    <s v="ITE-21-012#1000000401"/>
    <m/>
  </r>
  <r>
    <x v="114"/>
    <x v="1"/>
    <s v="WAREHOUSE-SRAP-ทำลาย"/>
    <x v="3"/>
    <s v="1000000402"/>
    <s v="WAREHOUSE"/>
    <x v="1"/>
    <s v="HP Color LaserJet Pro MFP M479fdw"/>
    <s v="CNCRP8N64Q"/>
    <n v="4501056868"/>
    <m/>
    <d v="2021-11-02T00:00:00"/>
    <s v="NA"/>
    <s v="TE-21-013#1000000402"/>
  </r>
  <r>
    <x v="115"/>
    <x v="1"/>
    <s v="BKK OFFICE AIAEG"/>
    <x v="1"/>
    <s v="1000000416"/>
    <s v="BKK OFFICE AIAEG"/>
    <x v="1"/>
    <s v="Canon iR-ADV DX C3826i "/>
    <m/>
    <n v="4501061522"/>
    <m/>
    <d v="2021-11-02T00:00:00"/>
    <s v="ITE-21-021#1000000416"/>
    <m/>
  </r>
  <r>
    <x v="116"/>
    <x v="56"/>
    <s v="Eakkarat"/>
    <x v="8"/>
    <s v="CS-18-002"/>
    <s v="KEAWKONJ"/>
    <x v="3"/>
    <s v="HP EliteBook 840 G3"/>
    <s v="5GC8080YF7"/>
    <s v="P18-105"/>
    <m/>
    <d v="2018-03-18T00:00:00"/>
    <d v="2023-03-23T00:00:00"/>
    <m/>
  </r>
  <r>
    <x v="117"/>
    <x v="49"/>
    <s v="Avaliable"/>
    <x v="13"/>
    <s v="CS-19-028"/>
    <s v="SAEAEWC"/>
    <x v="3"/>
    <s v="HP EliteBook 840 G5"/>
    <s v="5CG8354SJP"/>
    <s v="P18-558"/>
    <m/>
    <d v="2018-08-18T00:00:00"/>
    <d v="2023-08-23T00:00:00"/>
    <m/>
  </r>
  <r>
    <x v="118"/>
    <x v="9"/>
    <s v="ImsaiadJ"/>
    <x v="3"/>
    <s v="CS-18-012"/>
    <s v="ImsaiadJ"/>
    <x v="3"/>
    <s v="HP EliteBook 840 G5"/>
    <s v="5CG8354SJF"/>
    <s v="P18-560"/>
    <m/>
    <d v="2018-08-18T00:00:00"/>
    <d v="2023-08-23T00:00:00"/>
    <m/>
  </r>
  <r>
    <x v="119"/>
    <x v="49"/>
    <s v="SPARE"/>
    <x v="13"/>
    <s v="CS-18-016"/>
    <s v="HAT"/>
    <x v="3"/>
    <s v="HP EliteBook 840 G5"/>
    <s v="5CG83963LT"/>
    <s v="P18-654"/>
    <m/>
    <d v="2018-09-18T00:00:00"/>
    <d v="2023-09-23T00:00:00"/>
    <m/>
  </r>
  <r>
    <x v="120"/>
    <x v="49"/>
    <s v="SPARE"/>
    <x v="13"/>
    <s v="CS-18-015"/>
    <s v="onglertt"/>
    <x v="3"/>
    <s v="HP EliteBook 840 G5"/>
    <s v="5CG839634Q"/>
    <s v="P18-701"/>
    <m/>
    <d v="2018-10-18T00:00:00"/>
    <d v="2023-10-23T00:00:00"/>
    <m/>
  </r>
  <r>
    <x v="121"/>
    <x v="57"/>
    <s v="RAJASAV"/>
    <x v="2"/>
    <s v="CS-18-020"/>
    <s v="RAJASAV"/>
    <x v="3"/>
    <s v="HP EliteBook 840 G5"/>
    <s v="5CG839634D"/>
    <s v="P18-703"/>
    <m/>
    <d v="2018-10-18T00:00:00"/>
    <d v="2023-10-23T00:00:00"/>
    <s v="Vega moved his Laptop to HKI"/>
  </r>
  <r>
    <x v="122"/>
    <x v="58"/>
    <s v="SAIMATWA"/>
    <x v="3"/>
    <s v="CS-19-019"/>
    <s v="SAIMATWA"/>
    <x v="3"/>
    <s v="HP EliteBook 840 G5"/>
    <s v="5CG8526N3S"/>
    <s v="P18-963"/>
    <m/>
    <d v="2018-12-01T00:00:00"/>
    <d v="2023-12-23T00:00:00"/>
    <m/>
  </r>
  <r>
    <x v="123"/>
    <x v="59"/>
    <s v="general PC"/>
    <x v="5"/>
    <s v="CS-19-004"/>
    <s v="general PC"/>
    <x v="3"/>
    <s v="HP EliteBook 840 G5"/>
    <s v="5CG8526N3F"/>
    <s v="P19-144"/>
    <m/>
    <d v="2019-02-19T00:00:00"/>
    <d v="2024-02-24T00:00:00"/>
    <m/>
  </r>
  <r>
    <x v="124"/>
    <x v="18"/>
    <s v="BAOTHAMP"/>
    <x v="3"/>
    <s v="CS-19-020"/>
    <s v="BAOTHAMP"/>
    <x v="3"/>
    <s v="HP EliteBook 840 G5"/>
    <s v="5CG9100N99"/>
    <s v="P19-169"/>
    <m/>
    <d v="2019-02-19T00:00:00"/>
    <d v="2024-02-24T00:00:00"/>
    <s v="returned 16.01.2024 to server room"/>
  </r>
  <r>
    <x v="125"/>
    <x v="2"/>
    <s v="Saimat, Watcharaporn"/>
    <x v="3"/>
    <s v="1000001082                            "/>
    <m/>
    <x v="0"/>
    <s v="DELL 24'' MONITOR P2425H"/>
    <m/>
    <m/>
    <m/>
    <m/>
    <m/>
    <m/>
  </r>
  <r>
    <x v="126"/>
    <x v="53"/>
    <s v="Weena Sagri"/>
    <x v="4"/>
    <n v="1000000330"/>
    <m/>
    <x v="0"/>
    <s v="DELL 24 Monitor P2419H 23.8 Inch -  Sitthinual, Peeraya"/>
    <m/>
    <m/>
    <m/>
    <m/>
    <m/>
    <m/>
  </r>
  <r>
    <x v="127"/>
    <x v="60"/>
    <s v="Prapoj"/>
    <x v="4"/>
    <n v="1000000414"/>
    <m/>
    <x v="0"/>
    <s v="DELL 24 Monitor P2422H  - Prapoj"/>
    <m/>
    <m/>
    <m/>
    <m/>
    <m/>
    <m/>
  </r>
  <r>
    <x v="128"/>
    <x v="61"/>
    <s v="LadphoS"/>
    <x v="4"/>
    <n v="1000000661"/>
    <m/>
    <x v="0"/>
    <s v="DELL 24 Monitor P2422H  - Mavin"/>
    <m/>
    <m/>
    <m/>
    <m/>
    <m/>
    <m/>
  </r>
  <r>
    <x v="129"/>
    <x v="62"/>
    <s v="APIRAKWV"/>
    <x v="4"/>
    <s v="CS-19-008"/>
    <s v="apirakwv"/>
    <x v="3"/>
    <s v="HP EliteBook 840 G5"/>
    <s v="5CG91564XZ"/>
    <s v="P19-347"/>
    <m/>
    <d v="2019-04-20T00:00:00"/>
    <d v="2024-04-24T00:00:00"/>
    <s v="handover to JJ (07.08.2023)"/>
  </r>
  <r>
    <x v="130"/>
    <x v="63"/>
    <s v="CHUEACHS "/>
    <x v="8"/>
    <s v="CS-19-009"/>
    <s v="CHUEACHS "/>
    <x v="3"/>
    <s v="HP EliteBook 840 G5"/>
    <s v="5CG91564YN"/>
    <s v="P19-347"/>
    <m/>
    <d v="2019-04-20T00:00:00"/>
    <d v="2024-04-24T00:00:00"/>
    <m/>
  </r>
  <r>
    <x v="131"/>
    <x v="64"/>
    <s v="KAEWKONE"/>
    <x v="8"/>
    <s v="CS-19-010"/>
    <s v="KAEWKONE"/>
    <x v="3"/>
    <s v="HP EliteBook 840 G5"/>
    <s v="5CG91564ZG"/>
    <s v="P19-347"/>
    <m/>
    <d v="2019-04-20T00:00:00"/>
    <d v="2024-04-24T00:00:00"/>
    <m/>
  </r>
  <r>
    <x v="132"/>
    <x v="65"/>
    <s v="PONGSUWN"/>
    <x v="8"/>
    <s v="CS-19-011"/>
    <s v="PONGSUWN"/>
    <x v="3"/>
    <s v="HP EliteBook 840 G5"/>
    <s v="5CG91564ZW"/>
    <s v="P19-347"/>
    <m/>
    <d v="2019-04-20T00:00:00"/>
    <d v="2024-04-24T00:00:00"/>
    <m/>
  </r>
  <r>
    <x v="133"/>
    <x v="66"/>
    <s v="Golf Workshop"/>
    <x v="4"/>
    <n v="1000000662"/>
    <m/>
    <x v="0"/>
    <s v="DELL 24 Monitor P2422H  - Golf Workshop"/>
    <m/>
    <m/>
    <m/>
    <m/>
    <m/>
    <m/>
  </r>
  <r>
    <x v="134"/>
    <x v="61"/>
    <s v="LadphoS"/>
    <x v="4"/>
    <n v="1000000674"/>
    <m/>
    <x v="0"/>
    <s v="DELL 24 Monitor P2422H  - Mavin"/>
    <m/>
    <m/>
    <m/>
    <m/>
    <m/>
    <m/>
  </r>
  <r>
    <x v="135"/>
    <x v="67"/>
    <s v="PROMRAC"/>
    <x v="8"/>
    <s v="CS-19-014"/>
    <s v="PROMRAC"/>
    <x v="3"/>
    <s v="HP EliteBook 840 G5"/>
    <s v="5CG91859DP"/>
    <s v="P19-347"/>
    <m/>
    <d v="2019-04-20T00:00:00"/>
    <d v="2024-04-24T00:00:00"/>
    <m/>
  </r>
  <r>
    <x v="136"/>
    <x v="55"/>
    <s v="JOHNJUE"/>
    <x v="4"/>
    <s v="ITE-20-006"/>
    <s v="JOHNJUE"/>
    <x v="3"/>
    <s v="HP Probook 640 G5"/>
    <s v="5CG0182Q5T"/>
    <n v="4500799734"/>
    <m/>
    <d v="2020-06-20T00:00:00"/>
    <d v="2025-06-25T00:00:00"/>
    <m/>
  </r>
  <r>
    <x v="137"/>
    <x v="68"/>
    <s v="Safeen"/>
    <x v="4"/>
    <s v="ITE-20-003"/>
    <s v="QHSE"/>
    <x v="3"/>
    <s v="HP Probook 640 G5"/>
    <s v="5CG0182Q5R"/>
    <n v="4500799734"/>
    <m/>
    <d v="2020-06-20T00:00:00"/>
    <d v="2025-06-25T00:00:00"/>
    <m/>
  </r>
  <r>
    <x v="138"/>
    <x v="61"/>
    <s v="ladphos"/>
    <x v="4"/>
    <s v="ITE-20-005"/>
    <m/>
    <x v="3"/>
    <s v="HP Probook 640 G5"/>
    <s v="5CG0182Q5Q"/>
    <n v="4500799734"/>
    <m/>
    <d v="2020-06-20T00:00:00"/>
    <d v="2025-06-25T00:00:00"/>
    <m/>
  </r>
  <r>
    <x v="139"/>
    <x v="69"/>
    <s v="RUTTANTH"/>
    <x v="3"/>
    <s v="ITE-20-004"/>
    <s v="RUTTANTH"/>
    <x v="3"/>
    <s v="HP Probook 640 G5"/>
    <s v="5CG0182Q5S"/>
    <n v="4500799734"/>
    <m/>
    <d v="2020-06-20T00:00:00"/>
    <d v="2025-06-25T00:00:00"/>
    <m/>
  </r>
  <r>
    <x v="140"/>
    <x v="70"/>
    <s v="PONSINGP"/>
    <x v="4"/>
    <s v="ITE-21-001"/>
    <s v="old Vladimir"/>
    <x v="3"/>
    <s v="HP Probook 640 G5"/>
    <s v="5CG0524M4Q"/>
    <n v="4500870907"/>
    <m/>
    <d v="2021-01-21T00:00:00"/>
    <d v="2026-01-26T00:00:00"/>
    <s v="changed on 04.10.2024 (See Mail from Joy)"/>
  </r>
  <r>
    <x v="141"/>
    <x v="71"/>
    <s v="JIRAVALC"/>
    <x v="8"/>
    <s v="ITE-21-018"/>
    <s v="JIRAVALC"/>
    <x v="3"/>
    <s v="HP Probook 640 G8"/>
    <s v="5CD141BD52"/>
    <n v="4500945593"/>
    <m/>
    <d v="2021-11-21T00:00:00"/>
    <d v="2026-11-26T00:00:00"/>
    <m/>
  </r>
  <r>
    <x v="142"/>
    <x v="72"/>
    <s v="HAYESB"/>
    <x v="2"/>
    <s v="ITE-21-015"/>
    <s v="HAYESB"/>
    <x v="3"/>
    <s v="HP Probook 640 G8"/>
    <s v="5CD141BD56"/>
    <n v="4500945593"/>
    <m/>
    <d v="2021-11-21T00:00:00"/>
    <d v="2026-11-26T00:00:00"/>
    <m/>
  </r>
  <r>
    <x v="143"/>
    <x v="22"/>
    <s v="Phoophan"/>
    <x v="11"/>
    <s v="ITE-21-014"/>
    <s v="PROJECT"/>
    <x v="3"/>
    <s v="HP Probook 640 G8"/>
    <s v="5CD141BD55"/>
    <n v="4500945593"/>
    <m/>
    <d v="2021-11-21T00:00:00"/>
    <d v="2026-11-26T00:00:00"/>
    <m/>
  </r>
  <r>
    <x v="144"/>
    <x v="62"/>
    <s v="Vikork Workshop"/>
    <x v="4"/>
    <n v="1000000949"/>
    <m/>
    <x v="0"/>
    <s v="DELL Professional Monitor P2422H - Vikork Workshop"/>
    <m/>
    <m/>
    <m/>
    <m/>
    <m/>
    <m/>
  </r>
  <r>
    <x v="145"/>
    <x v="6"/>
    <s v="CURLEYB"/>
    <x v="6"/>
    <s v="ITE-21-017"/>
    <s v="CURLEYB"/>
    <x v="3"/>
    <s v="HP Probook 640 G8"/>
    <s v="5CD141BD54"/>
    <n v="4500945593"/>
    <m/>
    <d v="2021-11-21T00:00:00"/>
    <d v="2026-11-26T00:00:00"/>
    <m/>
  </r>
  <r>
    <x v="146"/>
    <x v="43"/>
    <s v="KRAIWASW"/>
    <x v="3"/>
    <s v="ITE-21-019"/>
    <s v="KRAIWASW"/>
    <x v="3"/>
    <s v="HP Probook 640 G8"/>
    <s v="5CD141BD51"/>
    <n v="4500945593"/>
    <m/>
    <d v="2021-11-21T00:00:00"/>
    <d v="2026-11-26T00:00:00"/>
    <m/>
  </r>
  <r>
    <x v="147"/>
    <x v="49"/>
    <s v="OLD-HUTCHINP"/>
    <x v="2"/>
    <s v="ITE-21-016"/>
    <s v="HUTCHINP"/>
    <x v="3"/>
    <s v="HP Probook 640 G8"/>
    <s v="5CD141BD53"/>
    <n v="4500945593"/>
    <m/>
    <d v="2021-11-21T00:00:00"/>
    <d v="2026-11-26T00:00:00"/>
    <m/>
  </r>
  <r>
    <x v="148"/>
    <x v="73"/>
    <s v="MAHADPHS"/>
    <x v="6"/>
    <s v="ITE-22-004"/>
    <s v="MAHADPHS"/>
    <x v="3"/>
    <s v="HP Probook 640 G8"/>
    <s v="5CD2026SR6"/>
    <n v="4501054444"/>
    <m/>
    <d v="2022-02-22T00:00:00"/>
    <d v="2027-02-27T00:00:00"/>
    <m/>
  </r>
  <r>
    <x v="149"/>
    <x v="74"/>
    <s v="CHATTRAP"/>
    <x v="11"/>
    <s v="ITE-22-003"/>
    <s v="CHATTRAP"/>
    <x v="3"/>
    <s v="HP Probook 640 G8"/>
    <s v="5CD2026SR7"/>
    <n v="4501054444"/>
    <m/>
    <d v="2022-02-22T00:00:00"/>
    <d v="2027-02-27T00:00:00"/>
    <m/>
  </r>
  <r>
    <x v="150"/>
    <x v="16"/>
    <s v="BOONMAN"/>
    <x v="5"/>
    <s v="ITE-22-002"/>
    <s v="BOONMAN"/>
    <x v="3"/>
    <s v="HP Probook 640 G8"/>
    <s v="5CD2026SR8"/>
    <n v="4501054444"/>
    <m/>
    <d v="2022-02-22T00:00:00"/>
    <d v="2027-02-27T00:00:00"/>
    <m/>
  </r>
  <r>
    <x v="151"/>
    <x v="17"/>
    <s v="FONGKARW"/>
    <x v="5"/>
    <s v="ITE-22-001"/>
    <s v="FONGKARW"/>
    <x v="3"/>
    <s v="HP Probook 640 G8"/>
    <s v="5CD2026SR9"/>
    <n v="4501054444"/>
    <m/>
    <d v="2022-02-22T00:00:00"/>
    <d v="2027-02-27T00:00:00"/>
    <m/>
  </r>
  <r>
    <x v="152"/>
    <x v="62"/>
    <s v="Vikork Workshop"/>
    <x v="4"/>
    <n v="1000000997"/>
    <m/>
    <x v="0"/>
    <s v="DELL 24'' MONITOR P2425H - Vikork Workshop"/>
    <m/>
    <m/>
    <m/>
    <m/>
    <m/>
    <m/>
  </r>
  <r>
    <x v="153"/>
    <x v="75"/>
    <s v="WILSONG"/>
    <x v="2"/>
    <s v="ITE-22-023"/>
    <s v="WILSONG"/>
    <x v="3"/>
    <s v="HP Probook 640 G8"/>
    <s v="5CD2287TPR "/>
    <n v="4501078677"/>
    <m/>
    <d v="2022-08-22T00:00:00"/>
    <d v="2027-08-27T00:00:00"/>
    <m/>
  </r>
  <r>
    <x v="154"/>
    <x v="76"/>
    <s v="Rattanac"/>
    <x v="4"/>
    <n v="1000000998"/>
    <m/>
    <x v="0"/>
    <s v="DELL 24'' MONITOR P2425H - Work shop "/>
    <m/>
    <m/>
    <m/>
    <m/>
    <m/>
    <m/>
  </r>
  <r>
    <x v="155"/>
    <x v="76"/>
    <s v="Rattanac"/>
    <x v="4"/>
    <n v="1000000999"/>
    <m/>
    <x v="0"/>
    <s v="DELL 24'' MONITOR P2425H - Work shop"/>
    <m/>
    <m/>
    <m/>
    <m/>
    <m/>
    <m/>
  </r>
  <r>
    <x v="156"/>
    <x v="77"/>
    <s v="Atit Khuntee"/>
    <x v="4"/>
    <n v="1000001020"/>
    <m/>
    <x v="0"/>
    <s v="DELL 24'' MONITOR P2425H - Workshop"/>
    <m/>
    <m/>
    <m/>
    <m/>
    <m/>
    <m/>
  </r>
  <r>
    <x v="157"/>
    <x v="55"/>
    <s v="John, Juergen borrow to WFH"/>
    <x v="4"/>
    <n v="1000001022"/>
    <m/>
    <x v="0"/>
    <s v="DELL 24'' MONITOR P2425H -Workshop - John borrow to WFH"/>
    <m/>
    <m/>
    <m/>
    <m/>
    <m/>
    <m/>
  </r>
  <r>
    <x v="158"/>
    <x v="0"/>
    <m/>
    <x v="2"/>
    <m/>
    <m/>
    <x v="5"/>
    <s v="Apple xxx"/>
    <m/>
    <m/>
    <m/>
    <m/>
    <m/>
    <m/>
  </r>
  <r>
    <x v="159"/>
    <x v="78"/>
    <s v="Vuttinan BOONPHAN"/>
    <x v="2"/>
    <s v="ITE-22-029//1000000731"/>
    <m/>
    <x v="5"/>
    <s v="Samsung Samsung galaxy A53 5G -"/>
    <m/>
    <m/>
    <m/>
    <m/>
    <m/>
    <m/>
  </r>
  <r>
    <x v="160"/>
    <x v="79"/>
    <s v="Schwietale, Joerg"/>
    <x v="7"/>
    <s v="ITE-21-008//1000000376"/>
    <m/>
    <x v="5"/>
    <s v="Samsung Samsung S24 Ultra 5G/256GB"/>
    <m/>
    <m/>
    <m/>
    <m/>
    <m/>
    <m/>
  </r>
  <r>
    <x v="161"/>
    <x v="15"/>
    <s v="HOMMAENK "/>
    <x v="3"/>
    <s v="ITE-22-022"/>
    <s v="HOMMAENK "/>
    <x v="3"/>
    <s v="HP Probook 640 G8"/>
    <s v="5CD2287TPP"/>
    <n v="4501078677"/>
    <m/>
    <d v="2022-08-22T00:00:00"/>
    <d v="2027-08-27T00:00:00"/>
    <m/>
  </r>
  <r>
    <x v="162"/>
    <x v="37"/>
    <s v="PITTAKHT"/>
    <x v="3"/>
    <s v="ITE-22-024"/>
    <s v="PITTAKHT"/>
    <x v="3"/>
    <s v="HP Probook 640 G8"/>
    <s v="5CD2287TPS"/>
    <n v="4501078677"/>
    <m/>
    <d v="2022-08-22T00:00:00"/>
    <d v="2027-08-27T00:00:00"/>
    <m/>
  </r>
  <r>
    <x v="163"/>
    <x v="80"/>
    <s v="DHANUSRI"/>
    <x v="7"/>
    <s v="ITE-22-025"/>
    <s v="DHANUSRI"/>
    <x v="3"/>
    <s v="HP Probook 640 G8"/>
    <s v="5CD2287TPQ"/>
    <n v="4501078677"/>
    <m/>
    <d v="2022-08-22T00:00:00"/>
    <d v="2027-08-27T00:00:00"/>
    <m/>
  </r>
  <r>
    <x v="164"/>
    <x v="81"/>
    <s v="Nurrulphittri Thamrongsab"/>
    <x v="10"/>
    <s v="ITE-23-012"/>
    <m/>
    <x v="3"/>
    <s v="HP Probook 640 G9"/>
    <s v="5CD30449LL"/>
    <n v="4501227101"/>
    <m/>
    <d v="2023-03-23T00:00:00"/>
    <d v="2028-03-28T00:00:00"/>
    <m/>
  </r>
  <r>
    <x v="165"/>
    <x v="82"/>
    <s v="DANTRAKS"/>
    <x v="2"/>
    <s v="ITE-23-003"/>
    <s v="DANTRAKS"/>
    <x v="3"/>
    <s v="HP Probook 640 G9"/>
    <s v="5CD30449LS"/>
    <n v="4501227101"/>
    <m/>
    <d v="2023-03-23T00:00:00"/>
    <d v="2028-03-28T00:00:00"/>
    <m/>
  </r>
  <r>
    <x v="166"/>
    <x v="8"/>
    <s v="CHANDEEE"/>
    <x v="3"/>
    <s v="ITE-23-004"/>
    <s v="CHANDEEE"/>
    <x v="3"/>
    <s v="HP Probook 640 G9"/>
    <s v="5CD30449LQ"/>
    <n v="4501227101"/>
    <m/>
    <d v="2023-03-23T00:00:00"/>
    <d v="2028-03-28T00:00:00"/>
    <m/>
  </r>
  <r>
    <x v="167"/>
    <x v="31"/>
    <s v="Chattranusorn, Piyachat"/>
    <x v="11"/>
    <s v="ITE-21-009//1000000380"/>
    <m/>
    <x v="5"/>
    <s v="Samsung Samsung Galaxy A32 8/128,"/>
    <m/>
    <m/>
    <m/>
    <m/>
    <m/>
    <m/>
  </r>
  <r>
    <x v="168"/>
    <x v="53"/>
    <s v="Weena Sagri"/>
    <x v="4"/>
    <s v="ITE-23-005"/>
    <s v="Weena Sagri"/>
    <x v="3"/>
    <s v="HP Probook 640 G9"/>
    <s v="5CD30449LW"/>
    <n v="4501227101"/>
    <m/>
    <d v="2023-03-23T00:00:00"/>
    <d v="2028-03-28T00:00:00"/>
    <m/>
  </r>
  <r>
    <x v="169"/>
    <x v="83"/>
    <s v="THANAKHJ"/>
    <x v="11"/>
    <s v="ITE-23-006"/>
    <s v="THANAKHJ"/>
    <x v="3"/>
    <s v="HP Probook 640 G9"/>
    <s v="5CD30449LR"/>
    <n v="4501227101"/>
    <m/>
    <d v="2023-03-23T00:00:00"/>
    <d v="2028-03-28T00:00:00"/>
    <m/>
  </r>
  <r>
    <x v="170"/>
    <x v="21"/>
    <s v="YOTEEP"/>
    <x v="10"/>
    <s v="ITE-23-007"/>
    <s v="YOOTEP"/>
    <x v="3"/>
    <s v="HP Probook 640 G9"/>
    <s v="5CD30449LM"/>
    <n v="4501227101"/>
    <m/>
    <d v="2023-03-23T00:00:00"/>
    <d v="2028-03-28T00:00:00"/>
    <m/>
  </r>
  <r>
    <x v="171"/>
    <x v="41"/>
    <s v="KONGKAEW"/>
    <x v="10"/>
    <s v="ITE-23-008"/>
    <s v="KONGKAEW"/>
    <x v="3"/>
    <s v="HP Probook 640 G9"/>
    <s v="5CD30449LV"/>
    <n v="4501227101"/>
    <m/>
    <d v="2023-03-23T00:00:00"/>
    <d v="2028-03-28T00:00:00"/>
    <m/>
  </r>
  <r>
    <x v="172"/>
    <x v="84"/>
    <s v="BOONPHAV"/>
    <x v="2"/>
    <s v="ITE-23-009"/>
    <s v="BOONPHAV"/>
    <x v="3"/>
    <s v="HP Probook 640 G9"/>
    <s v="5CD30449LN"/>
    <n v="4501227101"/>
    <m/>
    <d v="2023-03-23T00:00:00"/>
    <d v="2028-03-28T00:00:00"/>
    <s v="change 11.08.2023 (Ott take with it to BKK)"/>
  </r>
  <r>
    <x v="173"/>
    <x v="4"/>
    <s v="SAKSRICA"/>
    <x v="5"/>
    <s v="ITE-23-010"/>
    <s v="SAKSRICA"/>
    <x v="3"/>
    <s v="HP Probook 640 G9"/>
    <s v="5CD30449LT"/>
    <n v="4501227101"/>
    <m/>
    <d v="2023-03-23T00:00:00"/>
    <d v="2028-03-28T00:00:00"/>
    <m/>
  </r>
  <r>
    <x v="174"/>
    <x v="20"/>
    <s v="ChantaiU"/>
    <x v="9"/>
    <s v="ITE-23-011"/>
    <s v="QA MANAGER"/>
    <x v="3"/>
    <s v="HP Probook 640 G9"/>
    <s v="5CD30449LP"/>
    <n v="4501227101"/>
    <m/>
    <d v="2023-03-23T00:00:00"/>
    <d v="2028-03-28T00:00:00"/>
    <m/>
  </r>
  <r>
    <x v="175"/>
    <x v="10"/>
    <s v="Joerg Schwietale"/>
    <x v="7"/>
    <s v="ITE-23-017"/>
    <s v="Joerg Schwietale"/>
    <x v="3"/>
    <s v="HP Probook 640 G9"/>
    <s v="5CD321GZ2P"/>
    <n v="4501275096"/>
    <m/>
    <d v="2023-05-23T00:00:00"/>
    <d v="2028-05-23T00:00:00"/>
    <m/>
  </r>
  <r>
    <x v="176"/>
    <x v="85"/>
    <s v="Schießle, Kai"/>
    <x v="7"/>
    <s v="ITE-23-013//0131000000780"/>
    <m/>
    <x v="5"/>
    <s v="Apple IPhone 14_ 128GB"/>
    <m/>
    <m/>
    <m/>
    <m/>
    <m/>
    <m/>
  </r>
  <r>
    <x v="177"/>
    <x v="82"/>
    <s v="Dantrakoon, Sopon"/>
    <x v="2"/>
    <s v="ITE-22-031//1000000762"/>
    <m/>
    <x v="5"/>
    <s v="Samsung Samsung galaxy A53"/>
    <m/>
    <m/>
    <m/>
    <m/>
    <m/>
    <m/>
  </r>
  <r>
    <x v="178"/>
    <x v="21"/>
    <s v="YOTEEP"/>
    <x v="10"/>
    <s v="ITE-23-041//1000000913"/>
    <m/>
    <x v="5"/>
    <s v="Samsung Samsung A345G 8/256"/>
    <m/>
    <m/>
    <m/>
    <m/>
    <m/>
    <m/>
  </r>
  <r>
    <x v="179"/>
    <x v="44"/>
    <s v="PAKAPHAM"/>
    <x v="9"/>
    <s v="ITE-23-018"/>
    <s v="PAKAPHAM"/>
    <x v="3"/>
    <s v="HP Probook 640 G9"/>
    <s v="5CD321GZ2S"/>
    <n v="4501275096"/>
    <m/>
    <d v="2023-05-23T00:00:00"/>
    <d v="2028-05-23T00:00:00"/>
    <m/>
  </r>
  <r>
    <x v="180"/>
    <x v="47"/>
    <s v="ThaiyaiJ"/>
    <x v="1"/>
    <s v="ITE-23-019"/>
    <s v="ThaiyaiJ"/>
    <x v="3"/>
    <s v="HP Probook 640 G9"/>
    <s v="5CD321GZ2T"/>
    <n v="4501275096"/>
    <m/>
    <d v="2023-05-23T00:00:00"/>
    <d v="2028-05-23T00:00:00"/>
    <m/>
  </r>
  <r>
    <x v="181"/>
    <x v="68"/>
    <s v="Safee-e, Nattaphon"/>
    <x v="4"/>
    <s v="1000001083                 "/>
    <m/>
    <x v="0"/>
    <s v="DELL 24'' MONITOR P2425H-workshop-Nattaphon"/>
    <m/>
    <m/>
    <m/>
    <m/>
    <m/>
    <m/>
  </r>
  <r>
    <x v="182"/>
    <x v="46"/>
    <s v="HUALKASK"/>
    <x v="5"/>
    <s v="ITE-23-020"/>
    <s v="HUALKASK"/>
    <x v="3"/>
    <s v="HP Probook 640 G9"/>
    <s v="5CD321GZ2Q"/>
    <n v="4501275096"/>
    <m/>
    <d v="2023-05-23T00:00:00"/>
    <d v="2028-05-23T00:00:00"/>
    <m/>
  </r>
  <r>
    <x v="183"/>
    <x v="86"/>
    <s v="PROKHORV"/>
    <x v="2"/>
    <s v="ITE-23-021"/>
    <s v="PROKHORV"/>
    <x v="3"/>
    <s v="HP Probook 640 G9"/>
    <s v="5CD321GZ2R"/>
    <n v="4501275096"/>
    <m/>
    <d v="2023-05-23T00:00:00"/>
    <d v="2028-05-23T00:00:00"/>
    <m/>
  </r>
  <r>
    <x v="184"/>
    <x v="87"/>
    <s v="Rattanac"/>
    <x v="4"/>
    <s v="ITE-24-007"/>
    <m/>
    <x v="3"/>
    <s v="HP Probook 640 G9"/>
    <s v="5CD4160Y27"/>
    <m/>
    <m/>
    <d v="2024-09-01T00:00:00"/>
    <d v="2029-09-01T00:00:00"/>
    <m/>
  </r>
  <r>
    <x v="185"/>
    <x v="7"/>
    <s v="VONTRIRP"/>
    <x v="1"/>
    <s v="ITE-24-008"/>
    <s v="VONTRIRP"/>
    <x v="3"/>
    <s v="HP Probook 640 G9"/>
    <s v="5CD4160Y28"/>
    <m/>
    <m/>
    <d v="2024-09-01T00:00:00"/>
    <d v="2029-09-01T00:00:00"/>
    <s v="office HR - IT cabinet (05.09.2024)"/>
  </r>
  <r>
    <x v="186"/>
    <x v="32"/>
    <s v="THONGYAS"/>
    <x v="13"/>
    <s v="ITE-24-009"/>
    <s v="THONGYAS"/>
    <x v="3"/>
    <s v="HP EliteBook 640 G10 "/>
    <s v="5CD4160Y26"/>
    <m/>
    <m/>
    <d v="2024-09-01T00:00:00"/>
    <d v="2029-09-01T00:00:00"/>
    <m/>
  </r>
  <r>
    <x v="187"/>
    <x v="49"/>
    <s v="PENNB"/>
    <x v="8"/>
    <s v="ITE-24-010"/>
    <s v="PENNB"/>
    <x v="3"/>
    <s v="HP EliteBook 640 G10 "/>
    <s v="5CD4160Y25"/>
    <m/>
    <m/>
    <d v="2024-09-01T00:00:00"/>
    <d v="2029-09-01T00:00:00"/>
    <s v="office HR - IT cabinet (05.09.2024)"/>
  </r>
  <r>
    <x v="188"/>
    <x v="35"/>
    <s v="Jiramet Markphan"/>
    <x v="10"/>
    <s v="ITE-24-011"/>
    <s v="saeaewc"/>
    <x v="3"/>
    <s v="HP EliteBook 640 G10 "/>
    <s v="5CD4160Y24"/>
    <m/>
    <m/>
    <d v="2024-09-01T00:00:00"/>
    <d v="2029-09-01T00:00:00"/>
    <s v="office HR - IT cabinet (05.09.2024)"/>
  </r>
  <r>
    <x v="189"/>
    <x v="50"/>
    <s v="Penn, Bernd"/>
    <x v="8"/>
    <m/>
    <m/>
    <x v="5"/>
    <s v="Samsung Samsung A305F S/N: 356970107232708 ID: White"/>
    <m/>
    <m/>
    <m/>
    <m/>
    <m/>
    <m/>
  </r>
  <r>
    <x v="190"/>
    <x v="52"/>
    <s v="MukpromP"/>
    <x v="11"/>
    <s v="ITE-24-024"/>
    <s v="MukpromP"/>
    <x v="3"/>
    <s v="HP Zbook Power16 G11"/>
    <s v="5CD443BT8S"/>
    <n v="4501489837"/>
    <m/>
    <d v="2024-11-24T00:00:00"/>
    <m/>
    <m/>
  </r>
  <r>
    <x v="191"/>
    <x v="45"/>
    <s v="TANTISAS"/>
    <x v="9"/>
    <s v="ITE-24-028"/>
    <s v="Tantisas"/>
    <x v="3"/>
    <s v="HP Elitbook 645G11"/>
    <s v="5CD4467F9B"/>
    <m/>
    <m/>
    <m/>
    <m/>
    <m/>
  </r>
  <r>
    <x v="192"/>
    <x v="49"/>
    <s v="Atit Khuntee"/>
    <x v="4"/>
    <s v="ITE-24-029"/>
    <m/>
    <x v="3"/>
    <s v="HP Elitbook 645G11"/>
    <s v="5CD4467F9C "/>
    <m/>
    <m/>
    <m/>
    <m/>
    <m/>
  </r>
  <r>
    <x v="193"/>
    <x v="3"/>
    <s v="sombunt thanadol"/>
    <x v="1"/>
    <s v="ITE-24-030"/>
    <s v="sombunt"/>
    <x v="3"/>
    <s v="HP Elitbook 645G11"/>
    <s v="5CD4467F9G"/>
    <m/>
    <m/>
    <m/>
    <m/>
    <m/>
  </r>
  <r>
    <x v="194"/>
    <x v="30"/>
    <s v="onglertt"/>
    <x v="7"/>
    <s v="ITE-24-031"/>
    <s v="onglertt"/>
    <x v="3"/>
    <s v="HP Elitbook 645G11"/>
    <s v="5CD4467F9F"/>
    <m/>
    <m/>
    <m/>
    <m/>
    <m/>
  </r>
  <r>
    <x v="195"/>
    <x v="12"/>
    <s v="Pitakumk"/>
    <x v="7"/>
    <s v="ITE-24-032"/>
    <s v="Pitakumk"/>
    <x v="3"/>
    <s v="HP Elitbook 645G11"/>
    <s v="5CD4467F9D"/>
    <m/>
    <m/>
    <m/>
    <m/>
    <m/>
  </r>
  <r>
    <x v="196"/>
    <x v="24"/>
    <s v="LOETZERS"/>
    <x v="6"/>
    <s v="1000001073   ITE-25-004                                                       "/>
    <m/>
    <x v="3"/>
    <s v="HP Elitbook 645 G11"/>
    <s v="5CD5228NP2"/>
    <n v="4501580024"/>
    <s v="IT68070165"/>
    <d v="2025-07-17T00:00:00"/>
    <m/>
    <m/>
  </r>
  <r>
    <x v="197"/>
    <x v="88"/>
    <s v="Elison, Volker-Dietmar"/>
    <x v="8"/>
    <m/>
    <m/>
    <x v="5"/>
    <s v="Samsung Samsung galaxy A33"/>
    <m/>
    <m/>
    <m/>
    <m/>
    <m/>
    <m/>
  </r>
  <r>
    <x v="198"/>
    <x v="81"/>
    <s v=" Nurrulphittri Thamrongsab"/>
    <x v="10"/>
    <s v="ITE-22-028//1000000706"/>
    <m/>
    <x v="5"/>
    <s v="Samsung Samsung galaxy A53"/>
    <m/>
    <m/>
    <m/>
    <m/>
    <m/>
    <m/>
  </r>
  <r>
    <x v="199"/>
    <x v="68"/>
    <s v="Safee-e, Nattaphon"/>
    <x v="4"/>
    <s v="1000001084   "/>
    <m/>
    <x v="0"/>
    <s v="DELL 24'' MONITOR P2425H-workshop-Nattaphon"/>
    <m/>
    <m/>
    <m/>
    <m/>
    <m/>
    <m/>
  </r>
  <r>
    <x v="200"/>
    <x v="89"/>
    <s v="BunrakW"/>
    <x v="14"/>
    <s v="1000001074   ITE-25-005                                             "/>
    <s v="BunrakW"/>
    <x v="3"/>
    <s v="HP Elitbook 645 G11"/>
    <s v="5CD5228NPR"/>
    <n v="4501580024"/>
    <s v="IT68070165"/>
    <d v="2025-07-17T00:00:00"/>
    <m/>
    <m/>
  </r>
  <r>
    <x v="201"/>
    <x v="49"/>
    <s v="thammarak.isara"/>
    <x v="14"/>
    <s v="1000001075   ITE-25-006                                                   "/>
    <m/>
    <x v="3"/>
    <s v="HP Elitbook 645 G11"/>
    <s v="5CD5228NPS"/>
    <n v="4501580024"/>
    <s v="IT68070165"/>
    <d v="2025-07-17T00:00:00"/>
    <m/>
    <m/>
  </r>
  <r>
    <x v="202"/>
    <x v="63"/>
    <s v="CHUEACHS "/>
    <x v="14"/>
    <s v="1000001076   ITE-25-007                                          "/>
    <m/>
    <x v="3"/>
    <s v="HP Elitbook 645 G11"/>
    <s v="5CD5228NQ1"/>
    <n v="4501580024"/>
    <s v="IT68070165"/>
    <d v="2025-07-17T00:00:00"/>
    <m/>
    <m/>
  </r>
  <r>
    <x v="203"/>
    <x v="65"/>
    <s v="PONGSUWN"/>
    <x v="14"/>
    <s v="1000001077   ITE-25-008                                                      "/>
    <m/>
    <x v="3"/>
    <s v="HP Elitbook 645 G11"/>
    <s v="5CD5228NQ2"/>
    <n v="4501580024"/>
    <s v="IT68070165"/>
    <d v="2025-07-17T00:00:00"/>
    <m/>
    <m/>
  </r>
  <r>
    <x v="204"/>
    <x v="35"/>
    <s v="Jiramet Markphan"/>
    <x v="10"/>
    <s v="ITE-23-042//1000000914"/>
    <m/>
    <x v="5"/>
    <s v="Samsung Samsung galaxy A34"/>
    <m/>
    <m/>
    <m/>
    <m/>
    <m/>
    <m/>
  </r>
  <r>
    <x v="205"/>
    <x v="47"/>
    <s v="Thaiyai, Jeeranun"/>
    <x v="1"/>
    <s v="ITE-21-029//1000000417"/>
    <s v="Thaiyai, Jeeranun"/>
    <x v="5"/>
    <s v="Samsung Samsung galaxy A30"/>
    <m/>
    <m/>
    <m/>
    <m/>
    <m/>
    <m/>
  </r>
  <r>
    <x v="206"/>
    <x v="90"/>
    <s v="PROMRAC"/>
    <x v="14"/>
    <s v="1000001078   ITE-25-009                                                    "/>
    <m/>
    <x v="3"/>
    <s v="HP Elitbook 645 G11"/>
    <s v="5CD5228NPT"/>
    <n v="4501580024"/>
    <s v="IT68070165"/>
    <d v="2025-07-17T00:00:00"/>
    <m/>
    <m/>
  </r>
  <r>
    <x v="207"/>
    <x v="13"/>
    <s v="DOYLEA"/>
    <x v="14"/>
    <s v="1000001079   ITE-25-010                                                     "/>
    <m/>
    <x v="3"/>
    <s v="HP Elitbook 645 G11"/>
    <s v="5CD5228NQ0"/>
    <n v="4501580024"/>
    <s v="IT68070165"/>
    <d v="2025-07-17T00:00:00"/>
    <m/>
    <m/>
  </r>
  <r>
    <x v="208"/>
    <x v="77"/>
    <s v="Atit Khuntee"/>
    <x v="4"/>
    <s v="1000001085                     "/>
    <m/>
    <x v="0"/>
    <s v="DELL 24'' MONITOR P2425H - Workshop"/>
    <m/>
    <m/>
    <m/>
    <m/>
    <m/>
    <m/>
  </r>
  <r>
    <x v="209"/>
    <x v="50"/>
    <s v="PENNB"/>
    <x v="14"/>
    <s v="1000001080   ITE-25-011                                 "/>
    <m/>
    <x v="3"/>
    <s v="HP Elitbook 645 G11"/>
    <s v="5CD5228NQ3"/>
    <n v="4501580024"/>
    <s v="IT68070165"/>
    <d v="2025-07-17T00:00:00"/>
    <m/>
    <m/>
  </r>
  <r>
    <x v="210"/>
    <x v="91"/>
    <s v="HutchinP"/>
    <x v="2"/>
    <s v="1000001087  ITE-25-017"/>
    <s v="F8EDFC6952B4"/>
    <x v="3"/>
    <s v="HP Elitbook 645 G11"/>
    <s v="5CD5228NPV"/>
    <n v="4501582368"/>
    <s v="IT68070164"/>
    <d v="2025-07-17T00:00:00"/>
    <m/>
    <m/>
  </r>
  <r>
    <x v="211"/>
    <x v="92"/>
    <s v="PENNB"/>
    <x v="6"/>
    <s v="1000001090 ITE-25-018"/>
    <s v="F8EDFC6952B5"/>
    <x v="3"/>
    <s v="HP Elitbook 645 G11"/>
    <s v="5CD5228NPW"/>
    <n v="4501582368"/>
    <s v="IT68070164"/>
    <d v="2025-07-17T00:00:00"/>
    <m/>
    <m/>
  </r>
  <r>
    <x v="212"/>
    <x v="49"/>
    <s v="IT"/>
    <x v="13"/>
    <s v="1000001091 ITE-25-019"/>
    <s v="F8EDFC6952B0"/>
    <x v="3"/>
    <s v="HP Elitbook 645 G11"/>
    <s v="5CD5228NPX"/>
    <n v="4501582368"/>
    <s v="IT68070164"/>
    <d v="2025-07-17T00:00:00"/>
    <m/>
    <m/>
  </r>
  <r>
    <x v="213"/>
    <x v="49"/>
    <s v="IT"/>
    <x v="13"/>
    <s v="1000001092 ITE-25-020"/>
    <s v="F8EDFC6952B1"/>
    <x v="3"/>
    <s v="HP Elitbook 645 G11"/>
    <s v="5CD5228NPy"/>
    <n v="4501582368"/>
    <s v="IT68070164"/>
    <d v="2025-07-17T00:00:00"/>
    <m/>
    <m/>
  </r>
  <r>
    <x v="214"/>
    <x v="93"/>
    <s v="Adam Doyle"/>
    <x v="8"/>
    <s v="OE-18-016//1000000123"/>
    <m/>
    <x v="5"/>
    <s v="Samsung Samsung A305F S/N: 35697010638316"/>
    <m/>
    <m/>
    <m/>
    <m/>
    <m/>
    <m/>
  </r>
  <r>
    <x v="215"/>
    <x v="56"/>
    <s v="Kaewkongjan, Eakkarat"/>
    <x v="14"/>
    <s v="ITE-21-003//1000000361"/>
    <m/>
    <x v="5"/>
    <s v="Samsung Samsung A32 128 GB"/>
    <m/>
    <m/>
    <m/>
    <m/>
    <m/>
    <m/>
  </r>
  <r>
    <x v="216"/>
    <x v="20"/>
    <s v="Udorn Chanta"/>
    <x v="9"/>
    <s v="ITE-24-012//1000000960"/>
    <m/>
    <x v="5"/>
    <s v="Samsung Samsung A34 5G/256GB"/>
    <m/>
    <m/>
    <m/>
    <m/>
    <m/>
    <m/>
  </r>
  <r>
    <x v="217"/>
    <x v="44"/>
    <s v="Pakaphan, Montree"/>
    <x v="9"/>
    <s v="ITE-24-013//1000000961"/>
    <m/>
    <x v="5"/>
    <s v="Samsung Samsung A34"/>
    <m/>
    <m/>
    <m/>
    <m/>
    <m/>
    <m/>
  </r>
  <r>
    <x v="218"/>
    <x v="7"/>
    <s v="Vongtrirat, Ponpimon"/>
    <x v="1"/>
    <m/>
    <m/>
    <x v="5"/>
    <s v="Samsung Samsung Galaxy A32"/>
    <m/>
    <m/>
    <m/>
    <m/>
    <m/>
    <m/>
  </r>
  <r>
    <x v="219"/>
    <x v="94"/>
    <s v="SECURITY"/>
    <x v="1"/>
    <s v="OE-20-003//1000000373"/>
    <m/>
    <x v="5"/>
    <s v="Samsung Samsung A30"/>
    <m/>
    <m/>
    <m/>
    <m/>
    <m/>
    <m/>
  </r>
  <r>
    <x v="220"/>
    <x v="1"/>
    <s v="SOLD TO CANON Trade-in"/>
    <x v="1"/>
    <m/>
    <s v="SOLD TO CANON Trade-in"/>
    <x v="1"/>
    <s v="Konica BH C224"/>
    <m/>
    <m/>
    <m/>
    <m/>
    <m/>
    <s v="need to remove from fixed asset"/>
  </r>
  <r>
    <x v="221"/>
    <x v="95"/>
    <m/>
    <x v="13"/>
    <m/>
    <s v="Server Room"/>
    <x v="6"/>
    <s v="Cisco C892FSP-K9"/>
    <s v="FCZ1925C3FW"/>
    <m/>
    <m/>
    <m/>
    <m/>
    <m/>
  </r>
  <r>
    <x v="222"/>
    <x v="0"/>
    <m/>
    <x v="0"/>
    <m/>
    <m/>
    <x v="7"/>
    <m/>
    <m/>
    <m/>
    <m/>
    <m/>
    <m/>
    <m/>
  </r>
  <r>
    <x v="222"/>
    <x v="0"/>
    <m/>
    <x v="0"/>
    <m/>
    <m/>
    <x v="7"/>
    <m/>
    <m/>
    <m/>
    <m/>
    <m/>
    <m/>
    <m/>
  </r>
  <r>
    <x v="222"/>
    <x v="0"/>
    <m/>
    <x v="0"/>
    <m/>
    <m/>
    <x v="7"/>
    <m/>
    <m/>
    <m/>
    <m/>
    <m/>
    <m/>
    <m/>
  </r>
  <r>
    <x v="222"/>
    <x v="0"/>
    <m/>
    <x v="0"/>
    <m/>
    <m/>
    <x v="7"/>
    <m/>
    <m/>
    <m/>
    <m/>
    <m/>
    <m/>
    <m/>
  </r>
  <r>
    <x v="222"/>
    <x v="0"/>
    <m/>
    <x v="0"/>
    <m/>
    <m/>
    <x v="7"/>
    <m/>
    <m/>
    <m/>
    <m/>
    <m/>
    <m/>
    <m/>
  </r>
  <r>
    <x v="222"/>
    <x v="0"/>
    <m/>
    <x v="0"/>
    <m/>
    <m/>
    <x v="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B8646-B979-41FB-A758-20DDB76F3ECF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3:B510" firstHeaderRow="1" firstDataRow="1" firstDataCol="1" rowPageCount="1" colPageCount="1"/>
  <pivotFields count="14">
    <pivotField axis="axisRow" dataField="1" showAll="0">
      <items count="225">
        <item x="107"/>
        <item x="114"/>
        <item x="65"/>
        <item x="108"/>
        <item x="111"/>
        <item x="6"/>
        <item x="19"/>
        <item x="21"/>
        <item x="49"/>
        <item x="63"/>
        <item x="68"/>
        <item x="69"/>
        <item x="71"/>
        <item x="96"/>
        <item x="97"/>
        <item x="98"/>
        <item x="116"/>
        <item x="117"/>
        <item x="118"/>
        <item m="1" x="223"/>
        <item x="120"/>
        <item x="121"/>
        <item x="122"/>
        <item x="123"/>
        <item x="124"/>
        <item x="129"/>
        <item x="130"/>
        <item x="131"/>
        <item x="132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3"/>
        <item x="161"/>
        <item x="162"/>
        <item x="163"/>
        <item x="164"/>
        <item x="165"/>
        <item x="166"/>
        <item x="168"/>
        <item x="169"/>
        <item x="170"/>
        <item x="171"/>
        <item x="172"/>
        <item x="173"/>
        <item x="174"/>
        <item x="175"/>
        <item x="179"/>
        <item x="180"/>
        <item x="182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200"/>
        <item x="201"/>
        <item x="202"/>
        <item x="203"/>
        <item x="206"/>
        <item x="207"/>
        <item x="209"/>
        <item x="210"/>
        <item x="211"/>
        <item x="212"/>
        <item x="213"/>
        <item x="158"/>
        <item x="159"/>
        <item x="160"/>
        <item x="167"/>
        <item x="176"/>
        <item x="177"/>
        <item x="178"/>
        <item x="189"/>
        <item x="197"/>
        <item x="198"/>
        <item x="204"/>
        <item x="205"/>
        <item x="214"/>
        <item x="215"/>
        <item x="216"/>
        <item x="217"/>
        <item x="218"/>
        <item x="219"/>
        <item x="113"/>
        <item x="99"/>
        <item x="9"/>
        <item x="1"/>
        <item x="109"/>
        <item x="7"/>
        <item x="220"/>
        <item x="110"/>
        <item x="78"/>
        <item x="221"/>
        <item x="115"/>
        <item x="0"/>
        <item x="2"/>
        <item x="3"/>
        <item x="4"/>
        <item x="5"/>
        <item x="104"/>
        <item x="8"/>
        <item x="10"/>
        <item x="11"/>
        <item x="14"/>
        <item x="13"/>
        <item x="15"/>
        <item x="16"/>
        <item x="17"/>
        <item x="12"/>
        <item x="18"/>
        <item x="106"/>
        <item x="20"/>
        <item x="112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2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127"/>
        <item x="64"/>
        <item x="66"/>
        <item x="67"/>
        <item x="128"/>
        <item x="133"/>
        <item x="70"/>
        <item x="134"/>
        <item x="72"/>
        <item x="73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44"/>
        <item x="152"/>
        <item x="154"/>
        <item x="155"/>
        <item x="100"/>
        <item x="101"/>
        <item x="102"/>
        <item x="103"/>
        <item x="156"/>
        <item x="105"/>
        <item x="157"/>
        <item x="125"/>
        <item x="181"/>
        <item x="199"/>
        <item x="208"/>
        <item x="222"/>
        <item x="119"/>
        <item t="default"/>
      </items>
    </pivotField>
    <pivotField axis="axisRow" showAll="0">
      <items count="104">
        <item sd="0" x="76"/>
        <item sd="0" x="81"/>
        <item sd="0" x="93"/>
        <item sd="0" x="77"/>
        <item sd="0" x="16"/>
        <item sd="0" x="84"/>
        <item sd="0" x="38"/>
        <item x="8"/>
        <item x="31"/>
        <item x="74"/>
        <item sd="0" x="87"/>
        <item sd="0" x="63"/>
        <item x="59"/>
        <item x="6"/>
        <item x="82"/>
        <item x="80"/>
        <item x="33"/>
        <item sd="0" x="13"/>
        <item x="88"/>
        <item x="17"/>
        <item x="5"/>
        <item sd="0" x="66"/>
        <item x="26"/>
        <item x="72"/>
        <item x="51"/>
        <item x="15"/>
        <item x="9"/>
        <item m="1" x="99"/>
        <item x="35"/>
        <item x="71"/>
        <item x="14"/>
        <item x="10"/>
        <item x="55"/>
        <item x="42"/>
        <item x="56"/>
        <item x="64"/>
        <item x="48"/>
        <item x="46"/>
        <item x="43"/>
        <item x="61"/>
        <item x="24"/>
        <item x="73"/>
        <item x="68"/>
        <item x="34"/>
        <item x="30"/>
        <item x="44"/>
        <item x="36"/>
        <item x="52"/>
        <item x="91"/>
        <item x="50"/>
        <item m="1" x="100"/>
        <item x="18"/>
        <item x="22"/>
        <item x="12"/>
        <item x="37"/>
        <item x="65"/>
        <item x="70"/>
        <item x="60"/>
        <item x="1"/>
        <item x="86"/>
        <item x="90"/>
        <item x="67"/>
        <item x="57"/>
        <item x="2"/>
        <item x="4"/>
        <item x="39"/>
        <item x="85"/>
        <item x="11"/>
        <item x="79"/>
        <item x="94"/>
        <item x="29"/>
        <item m="1" x="96"/>
        <item x="3"/>
        <item m="1" x="102"/>
        <item m="1" x="97"/>
        <item m="1" x="98"/>
        <item x="49"/>
        <item x="32"/>
        <item x="95"/>
        <item x="45"/>
        <item x="47"/>
        <item m="1" x="101"/>
        <item x="23"/>
        <item x="83"/>
        <item x="25"/>
        <item x="19"/>
        <item x="69"/>
        <item x="20"/>
        <item x="62"/>
        <item x="7"/>
        <item x="28"/>
        <item x="78"/>
        <item x="40"/>
        <item x="89"/>
        <item x="58"/>
        <item x="41"/>
        <item x="75"/>
        <item x="54"/>
        <item x="21"/>
        <item x="27"/>
        <item x="0"/>
        <item x="53"/>
        <item x="92"/>
        <item t="default"/>
      </items>
    </pivotField>
    <pivotField showAll="0"/>
    <pivotField axis="axisPage" showAll="0">
      <items count="16">
        <item x="2"/>
        <item x="4"/>
        <item x="11"/>
        <item x="6"/>
        <item x="8"/>
        <item x="14"/>
        <item x="10"/>
        <item x="12"/>
        <item x="3"/>
        <item x="13"/>
        <item x="1"/>
        <item x="9"/>
        <item x="7"/>
        <item x="5"/>
        <item x="0"/>
        <item t="default"/>
      </items>
    </pivotField>
    <pivotField showAll="0"/>
    <pivotField showAll="0"/>
    <pivotField axis="axisRow" showAll="0">
      <items count="9">
        <item x="4"/>
        <item x="3"/>
        <item x="2"/>
        <item x="5"/>
        <item x="0"/>
        <item x="6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0"/>
    <field x="6"/>
  </rowFields>
  <rowItems count="507">
    <i>
      <x/>
    </i>
    <i>
      <x v="1"/>
    </i>
    <i>
      <x v="2"/>
    </i>
    <i>
      <x v="3"/>
    </i>
    <i>
      <x v="4"/>
    </i>
    <i>
      <x v="5"/>
    </i>
    <i>
      <x v="6"/>
    </i>
    <i>
      <x v="7"/>
    </i>
    <i r="1">
      <x v="51"/>
    </i>
    <i r="2">
      <x v="1"/>
    </i>
    <i r="1">
      <x v="125"/>
    </i>
    <i r="2">
      <x v="4"/>
    </i>
    <i r="1">
      <x v="143"/>
    </i>
    <i r="2">
      <x v="4"/>
    </i>
    <i>
      <x v="8"/>
    </i>
    <i r="1">
      <x v="90"/>
    </i>
    <i r="2">
      <x v="3"/>
    </i>
    <i r="1">
      <x v="167"/>
    </i>
    <i r="2">
      <x v="4"/>
    </i>
    <i r="1">
      <x v="168"/>
    </i>
    <i r="2">
      <x v="4"/>
    </i>
    <i>
      <x v="9"/>
    </i>
    <i r="1">
      <x v="42"/>
    </i>
    <i r="2">
      <x v="1"/>
    </i>
    <i>
      <x v="10"/>
    </i>
    <i>
      <x v="11"/>
    </i>
    <i>
      <x v="12"/>
    </i>
    <i r="1">
      <x v="23"/>
    </i>
    <i r="2">
      <x v="1"/>
    </i>
    <i>
      <x v="13"/>
    </i>
    <i r="1">
      <x v="38"/>
    </i>
    <i r="2">
      <x v="1"/>
    </i>
    <i r="1">
      <x v="126"/>
    </i>
    <i r="2">
      <x v="4"/>
    </i>
    <i r="1">
      <x v="131"/>
    </i>
    <i r="2">
      <x v="4"/>
    </i>
    <i>
      <x v="14"/>
    </i>
    <i r="1">
      <x v="50"/>
    </i>
    <i r="2">
      <x v="1"/>
    </i>
    <i r="1">
      <x v="92"/>
    </i>
    <i r="2">
      <x v="3"/>
    </i>
    <i>
      <x v="15"/>
    </i>
    <i r="1">
      <x v="48"/>
    </i>
    <i r="2">
      <x v="1"/>
    </i>
    <i>
      <x v="16"/>
    </i>
    <i r="1">
      <x v="172"/>
    </i>
    <i r="2">
      <x v="4"/>
    </i>
    <i>
      <x v="17"/>
    </i>
    <i>
      <x v="18"/>
    </i>
    <i r="1">
      <x v="95"/>
    </i>
    <i r="2">
      <x v="3"/>
    </i>
    <i>
      <x v="19"/>
    </i>
    <i r="1">
      <x v="44"/>
    </i>
    <i r="2">
      <x v="1"/>
    </i>
    <i r="1">
      <x v="139"/>
    </i>
    <i r="2">
      <x v="4"/>
    </i>
    <i r="1">
      <x v="144"/>
    </i>
    <i r="2">
      <x v="4"/>
    </i>
    <i>
      <x v="20"/>
    </i>
    <i r="1">
      <x v="126"/>
    </i>
    <i r="2">
      <x v="4"/>
    </i>
    <i r="1">
      <x v="130"/>
    </i>
    <i r="2">
      <x v="4"/>
    </i>
    <i>
      <x v="21"/>
    </i>
    <i>
      <x v="22"/>
    </i>
    <i r="1">
      <x v="159"/>
    </i>
    <i r="2">
      <x v="4"/>
    </i>
    <i>
      <x v="23"/>
    </i>
    <i r="1">
      <x v="36"/>
    </i>
    <i r="2">
      <x v="1"/>
    </i>
    <i>
      <x v="24"/>
    </i>
    <i r="1">
      <x v="106"/>
    </i>
    <i r="2">
      <x/>
    </i>
    <i>
      <x v="25"/>
    </i>
    <i r="1">
      <x v="46"/>
    </i>
    <i r="2">
      <x v="1"/>
    </i>
    <i r="1">
      <x v="137"/>
    </i>
    <i r="2">
      <x v="4"/>
    </i>
    <i r="1">
      <x v="158"/>
    </i>
    <i r="2">
      <x v="4"/>
    </i>
    <i>
      <x v="26"/>
    </i>
    <i r="1">
      <x v="18"/>
    </i>
    <i r="2">
      <x v="1"/>
    </i>
    <i r="1">
      <x v="127"/>
    </i>
    <i r="2">
      <x v="4"/>
    </i>
    <i r="1">
      <x v="164"/>
    </i>
    <i r="2">
      <x v="4"/>
    </i>
    <i>
      <x v="28"/>
    </i>
    <i r="1">
      <x v="68"/>
    </i>
    <i r="2">
      <x v="1"/>
    </i>
    <i r="1">
      <x v="97"/>
    </i>
    <i r="2">
      <x v="3"/>
    </i>
    <i r="1">
      <x v="175"/>
    </i>
    <i r="2">
      <x v="4"/>
    </i>
    <i r="1">
      <x v="182"/>
    </i>
    <i r="2">
      <x v="4"/>
    </i>
    <i>
      <x v="29"/>
    </i>
    <i r="1">
      <x v="35"/>
    </i>
    <i r="2">
      <x v="1"/>
    </i>
    <i>
      <x v="30"/>
    </i>
    <i r="1">
      <x v="135"/>
    </i>
    <i r="2">
      <x v="4"/>
    </i>
    <i r="1">
      <x v="136"/>
    </i>
    <i r="2">
      <x v="4"/>
    </i>
    <i>
      <x v="31"/>
    </i>
    <i r="1">
      <x v="59"/>
    </i>
    <i r="2">
      <x v="1"/>
    </i>
    <i r="1">
      <x v="128"/>
    </i>
    <i r="2">
      <x v="4"/>
    </i>
    <i r="1">
      <x v="129"/>
    </i>
    <i r="2">
      <x v="4"/>
    </i>
    <i>
      <x v="32"/>
    </i>
    <i r="1">
      <x v="30"/>
    </i>
    <i r="2">
      <x v="1"/>
    </i>
    <i r="1">
      <x v="132"/>
    </i>
    <i r="2">
      <x v="4"/>
    </i>
    <i r="1">
      <x v="134"/>
    </i>
    <i r="2">
      <x v="4"/>
    </i>
    <i r="1">
      <x v="217"/>
    </i>
    <i r="2">
      <x v="4"/>
    </i>
    <i>
      <x v="33"/>
    </i>
    <i r="1">
      <x v="189"/>
    </i>
    <i r="2">
      <x v="4"/>
    </i>
    <i>
      <x v="34"/>
    </i>
    <i r="1">
      <x v="16"/>
    </i>
    <i r="2">
      <x v="1"/>
    </i>
    <i r="1">
      <x v="100"/>
    </i>
    <i r="2">
      <x v="3"/>
    </i>
    <i>
      <x v="35"/>
    </i>
    <i r="1">
      <x v="27"/>
    </i>
    <i r="2">
      <x v="1"/>
    </i>
    <i>
      <x v="36"/>
    </i>
    <i r="1">
      <x v="13"/>
    </i>
    <i r="2">
      <x v="2"/>
    </i>
    <i>
      <x v="37"/>
    </i>
    <i r="1">
      <x v="62"/>
    </i>
    <i r="2">
      <x v="1"/>
    </i>
    <i r="1">
      <x v="196"/>
    </i>
    <i r="2">
      <x v="4"/>
    </i>
    <i r="1">
      <x v="197"/>
    </i>
    <i r="2">
      <x v="4"/>
    </i>
    <i>
      <x v="38"/>
    </i>
    <i r="1">
      <x v="39"/>
    </i>
    <i r="2">
      <x v="1"/>
    </i>
    <i r="1">
      <x v="190"/>
    </i>
    <i r="2">
      <x v="4"/>
    </i>
    <i r="1">
      <x v="191"/>
    </i>
    <i r="2">
      <x v="4"/>
    </i>
    <i>
      <x v="39"/>
    </i>
    <i r="1">
      <x v="32"/>
    </i>
    <i r="2">
      <x v="1"/>
    </i>
    <i r="1">
      <x v="180"/>
    </i>
    <i r="2">
      <x v="4"/>
    </i>
    <i r="1">
      <x v="183"/>
    </i>
    <i r="2">
      <x v="4"/>
    </i>
    <i>
      <x v="40"/>
    </i>
    <i r="1">
      <x v="75"/>
    </i>
    <i r="2">
      <x v="1"/>
    </i>
    <i r="1">
      <x v="150"/>
    </i>
    <i r="2">
      <x v="4"/>
    </i>
    <i r="1">
      <x v="157"/>
    </i>
    <i r="2">
      <x v="4"/>
    </i>
    <i>
      <x v="41"/>
    </i>
    <i r="1">
      <x v="41"/>
    </i>
    <i r="2">
      <x v="1"/>
    </i>
    <i>
      <x v="42"/>
    </i>
    <i r="1">
      <x v="31"/>
    </i>
    <i r="2">
      <x v="1"/>
    </i>
    <i r="1">
      <x v="219"/>
    </i>
    <i r="2">
      <x v="4"/>
    </i>
    <i r="1">
      <x v="220"/>
    </i>
    <i r="2">
      <x v="4"/>
    </i>
    <i>
      <x v="43"/>
    </i>
    <i r="1">
      <x v="173"/>
    </i>
    <i r="2">
      <x v="4"/>
    </i>
    <i r="1">
      <x v="174"/>
    </i>
    <i r="2">
      <x v="4"/>
    </i>
    <i>
      <x v="44"/>
    </i>
    <i r="1">
      <x v="73"/>
    </i>
    <i r="2">
      <x v="1"/>
    </i>
    <i r="1">
      <x v="163"/>
    </i>
    <i r="2">
      <x v="4"/>
    </i>
    <i r="1">
      <x v="202"/>
    </i>
    <i r="2">
      <x v="4"/>
    </i>
    <i>
      <x v="45"/>
    </i>
    <i r="1">
      <x v="60"/>
    </i>
    <i r="2">
      <x v="1"/>
    </i>
    <i r="1">
      <x v="102"/>
    </i>
    <i r="2">
      <x v="3"/>
    </i>
    <i r="1">
      <x v="192"/>
    </i>
    <i r="2">
      <x v="4"/>
    </i>
    <i r="1">
      <x v="193"/>
    </i>
    <i r="2">
      <x v="4"/>
    </i>
    <i>
      <x v="46"/>
    </i>
    <i r="1">
      <x v="9"/>
    </i>
    <i r="2">
      <x v="2"/>
    </i>
    <i>
      <x v="47"/>
    </i>
    <i r="1">
      <x v="69"/>
    </i>
    <i r="2">
      <x v="1"/>
    </i>
    <i r="1">
      <x v="211"/>
    </i>
    <i r="2">
      <x v="4"/>
    </i>
    <i r="1">
      <x v="212"/>
    </i>
    <i r="2">
      <x v="4"/>
    </i>
    <i>
      <x v="48"/>
    </i>
    <i r="1">
      <x v="83"/>
    </i>
    <i r="2">
      <x v="1"/>
    </i>
    <i>
      <x v="49"/>
    </i>
    <i r="1">
      <x v="15"/>
    </i>
    <i r="2">
      <x v="1"/>
    </i>
    <i r="1">
      <x v="82"/>
    </i>
    <i r="2">
      <x v="1"/>
    </i>
    <i r="1">
      <x v="94"/>
    </i>
    <i r="2">
      <x v="3"/>
    </i>
    <i>
      <x v="51"/>
    </i>
    <i r="1">
      <x v="24"/>
    </i>
    <i r="2">
      <x v="1"/>
    </i>
    <i r="1">
      <x v="140"/>
    </i>
    <i r="2">
      <x v="4"/>
    </i>
    <i r="1">
      <x v="203"/>
    </i>
    <i r="2">
      <x v="4"/>
    </i>
    <i>
      <x v="52"/>
    </i>
    <i r="1">
      <x v="37"/>
    </i>
    <i r="2">
      <x v="1"/>
    </i>
    <i r="1">
      <x v="147"/>
    </i>
    <i r="2">
      <x v="4"/>
    </i>
    <i r="1">
      <x v="148"/>
    </i>
    <i r="2">
      <x v="4"/>
    </i>
    <i>
      <x v="53"/>
    </i>
    <i r="1">
      <x v="74"/>
    </i>
    <i r="2">
      <x v="1"/>
    </i>
    <i r="1">
      <x v="133"/>
    </i>
    <i r="2">
      <x v="4"/>
    </i>
    <i r="1">
      <x v="165"/>
    </i>
    <i r="2">
      <x v="4"/>
    </i>
    <i>
      <x v="54"/>
    </i>
    <i r="1">
      <x v="47"/>
    </i>
    <i r="2">
      <x v="1"/>
    </i>
    <i r="1">
      <x v="178"/>
    </i>
    <i r="2">
      <x v="4"/>
    </i>
    <i r="1">
      <x v="179"/>
    </i>
    <i r="2">
      <x v="4"/>
    </i>
    <i>
      <x v="55"/>
    </i>
    <i r="1">
      <x v="28"/>
    </i>
    <i r="2">
      <x v="1"/>
    </i>
    <i r="1">
      <x v="79"/>
    </i>
    <i r="2">
      <x v="1"/>
    </i>
    <i>
      <x v="56"/>
    </i>
    <i r="1">
      <x v="34"/>
    </i>
    <i r="2">
      <x v="1"/>
    </i>
    <i>
      <x v="57"/>
    </i>
    <i r="1">
      <x v="176"/>
    </i>
    <i r="2">
      <x v="4"/>
    </i>
    <i>
      <x v="58"/>
    </i>
    <i r="1">
      <x/>
    </i>
    <i r="2">
      <x v="6"/>
    </i>
    <i r="1">
      <x v="1"/>
    </i>
    <i r="2">
      <x v="6"/>
    </i>
    <i r="1">
      <x v="2"/>
    </i>
    <i r="2">
      <x v="6"/>
    </i>
    <i r="1">
      <x v="3"/>
    </i>
    <i r="2">
      <x v="6"/>
    </i>
    <i r="1">
      <x v="4"/>
    </i>
    <i r="2">
      <x v="6"/>
    </i>
    <i r="1">
      <x v="5"/>
    </i>
    <i r="2">
      <x v="6"/>
    </i>
    <i r="1">
      <x v="105"/>
    </i>
    <i r="2">
      <x v="6"/>
    </i>
    <i r="1">
      <x v="107"/>
    </i>
    <i r="2">
      <x v="6"/>
    </i>
    <i r="1">
      <x v="108"/>
    </i>
    <i r="2">
      <x v="6"/>
    </i>
    <i r="1">
      <x v="109"/>
    </i>
    <i r="2">
      <x v="6"/>
    </i>
    <i r="1">
      <x v="110"/>
    </i>
    <i r="2">
      <x v="6"/>
    </i>
    <i r="1">
      <x v="111"/>
    </i>
    <i r="2">
      <x v="6"/>
    </i>
    <i r="1">
      <x v="112"/>
    </i>
    <i r="2">
      <x v="6"/>
    </i>
    <i r="1">
      <x v="113"/>
    </i>
    <i r="2">
      <x v="6"/>
    </i>
    <i r="1">
      <x v="115"/>
    </i>
    <i r="2">
      <x v="6"/>
    </i>
    <i>
      <x v="59"/>
    </i>
    <i r="1">
      <x v="63"/>
    </i>
    <i r="2">
      <x v="1"/>
    </i>
    <i>
      <x v="60"/>
    </i>
    <i r="1">
      <x v="80"/>
    </i>
    <i r="2">
      <x v="1"/>
    </i>
    <i>
      <x v="61"/>
    </i>
    <i r="1">
      <x v="29"/>
    </i>
    <i r="2">
      <x v="1"/>
    </i>
    <i>
      <x v="62"/>
    </i>
    <i r="1">
      <x v="21"/>
    </i>
    <i r="2">
      <x v="1"/>
    </i>
    <i>
      <x v="63"/>
    </i>
    <i r="1">
      <x v="120"/>
    </i>
    <i r="2">
      <x v="4"/>
    </i>
    <i r="1">
      <x v="218"/>
    </i>
    <i r="2">
      <x v="4"/>
    </i>
    <i>
      <x v="64"/>
    </i>
    <i r="1">
      <x v="57"/>
    </i>
    <i r="2">
      <x v="1"/>
    </i>
    <i r="1">
      <x v="123"/>
    </i>
    <i r="2">
      <x v="4"/>
    </i>
    <i r="1">
      <x v="146"/>
    </i>
    <i r="2">
      <x v="4"/>
    </i>
    <i>
      <x v="65"/>
    </i>
    <i r="1">
      <x v="11"/>
    </i>
    <i r="2">
      <x v="2"/>
    </i>
    <i r="1">
      <x v="194"/>
    </i>
    <i r="2">
      <x v="4"/>
    </i>
    <i r="1">
      <x v="199"/>
    </i>
    <i r="2">
      <x v="4"/>
    </i>
    <i>
      <x v="66"/>
    </i>
    <i r="1">
      <x v="91"/>
    </i>
    <i r="2">
      <x v="3"/>
    </i>
    <i>
      <x v="67"/>
    </i>
    <i r="1">
      <x v="6"/>
    </i>
    <i r="2">
      <x v="2"/>
    </i>
    <i>
      <x v="68"/>
    </i>
    <i r="1">
      <x v="89"/>
    </i>
    <i r="2">
      <x v="3"/>
    </i>
    <i>
      <x v="69"/>
    </i>
    <i r="1">
      <x v="104"/>
    </i>
    <i r="2">
      <x v="3"/>
    </i>
    <i>
      <x v="70"/>
    </i>
    <i r="1">
      <x v="8"/>
    </i>
    <i r="2">
      <x v="2"/>
    </i>
    <i>
      <x v="72"/>
    </i>
    <i r="1">
      <x v="72"/>
    </i>
    <i r="2">
      <x v="1"/>
    </i>
    <i r="1">
      <x v="122"/>
    </i>
    <i r="2">
      <x v="4"/>
    </i>
    <i r="1">
      <x v="188"/>
    </i>
    <i r="2">
      <x v="4"/>
    </i>
    <i>
      <x v="76"/>
    </i>
    <i r="1">
      <x v="14"/>
    </i>
    <i r="2">
      <x v="1"/>
    </i>
    <i r="1">
      <x v="17"/>
    </i>
    <i r="2">
      <x v="1"/>
    </i>
    <i r="1">
      <x v="20"/>
    </i>
    <i r="2">
      <x v="1"/>
    </i>
    <i r="1">
      <x v="40"/>
    </i>
    <i r="2">
      <x v="1"/>
    </i>
    <i r="1">
      <x v="67"/>
    </i>
    <i r="2">
      <x v="1"/>
    </i>
    <i r="1">
      <x v="71"/>
    </i>
    <i r="2">
      <x v="1"/>
    </i>
    <i r="1">
      <x v="77"/>
    </i>
    <i r="2">
      <x v="1"/>
    </i>
    <i r="1">
      <x v="85"/>
    </i>
    <i r="2">
      <x v="1"/>
    </i>
    <i r="1">
      <x v="86"/>
    </i>
    <i r="2">
      <x v="1"/>
    </i>
    <i r="1">
      <x v="223"/>
    </i>
    <i r="2">
      <x v="1"/>
    </i>
    <i>
      <x v="77"/>
    </i>
    <i r="1">
      <x v="66"/>
    </i>
    <i r="2">
      <x v="1"/>
    </i>
    <i r="1">
      <x v="169"/>
    </i>
    <i r="2">
      <x v="4"/>
    </i>
    <i r="1">
      <x v="170"/>
    </i>
    <i r="2">
      <x v="4"/>
    </i>
    <i>
      <x v="78"/>
    </i>
    <i r="1">
      <x v="114"/>
    </i>
    <i r="2">
      <x v="5"/>
    </i>
    <i>
      <x v="79"/>
    </i>
    <i r="1">
      <x v="70"/>
    </i>
    <i r="2">
      <x v="1"/>
    </i>
    <i r="1">
      <x v="195"/>
    </i>
    <i r="2">
      <x v="4"/>
    </i>
    <i r="1">
      <x v="200"/>
    </i>
    <i r="2">
      <x v="4"/>
    </i>
    <i>
      <x v="80"/>
    </i>
    <i r="1">
      <x v="61"/>
    </i>
    <i r="2">
      <x v="1"/>
    </i>
    <i r="1">
      <x v="98"/>
    </i>
    <i r="2">
      <x v="3"/>
    </i>
    <i r="1">
      <x v="204"/>
    </i>
    <i r="2">
      <x v="4"/>
    </i>
    <i r="1">
      <x v="205"/>
    </i>
    <i r="2">
      <x v="4"/>
    </i>
    <i>
      <x v="82"/>
    </i>
    <i r="1">
      <x v="149"/>
    </i>
    <i r="2">
      <x v="4"/>
    </i>
    <i r="1">
      <x v="184"/>
    </i>
    <i r="2">
      <x v="4"/>
    </i>
    <i>
      <x v="83"/>
    </i>
    <i r="1">
      <x v="53"/>
    </i>
    <i r="2">
      <x v="1"/>
    </i>
    <i>
      <x v="84"/>
    </i>
    <i r="1">
      <x v="156"/>
    </i>
    <i r="2">
      <x v="4"/>
    </i>
    <i>
      <x v="85"/>
    </i>
    <i r="1">
      <x v="141"/>
    </i>
    <i r="2">
      <x v="4"/>
    </i>
    <i>
      <x v="86"/>
    </i>
    <i r="1">
      <x v="33"/>
    </i>
    <i r="2">
      <x v="1"/>
    </i>
    <i>
      <x v="87"/>
    </i>
    <i r="1">
      <x v="58"/>
    </i>
    <i r="2">
      <x v="1"/>
    </i>
    <i r="1">
      <x v="101"/>
    </i>
    <i r="2">
      <x v="3"/>
    </i>
    <i r="1">
      <x v="142"/>
    </i>
    <i r="2">
      <x v="4"/>
    </i>
    <i r="1">
      <x v="198"/>
    </i>
    <i r="2">
      <x v="4"/>
    </i>
    <i>
      <x v="88"/>
    </i>
    <i r="1">
      <x v="25"/>
    </i>
    <i r="2">
      <x v="1"/>
    </i>
    <i r="1">
      <x v="207"/>
    </i>
    <i r="2">
      <x v="4"/>
    </i>
    <i r="1">
      <x v="208"/>
    </i>
    <i r="2">
      <x v="4"/>
    </i>
    <i>
      <x v="89"/>
    </i>
    <i r="1">
      <x v="65"/>
    </i>
    <i r="2">
      <x v="1"/>
    </i>
    <i r="1">
      <x v="103"/>
    </i>
    <i r="2">
      <x v="3"/>
    </i>
    <i r="1">
      <x v="126"/>
    </i>
    <i r="2">
      <x v="4"/>
    </i>
    <i r="1">
      <x v="151"/>
    </i>
    <i r="2">
      <x v="4"/>
    </i>
    <i>
      <x v="90"/>
    </i>
    <i r="1">
      <x v="161"/>
    </i>
    <i r="2">
      <x v="4"/>
    </i>
    <i r="1">
      <x v="171"/>
    </i>
    <i r="2">
      <x v="4"/>
    </i>
    <i>
      <x v="91"/>
    </i>
    <i r="1">
      <x v="88"/>
    </i>
    <i r="2">
      <x v="3"/>
    </i>
    <i>
      <x v="92"/>
    </i>
    <i r="1">
      <x v="12"/>
    </i>
    <i r="2">
      <x v="2"/>
    </i>
    <i>
      <x v="93"/>
    </i>
    <i r="1">
      <x v="76"/>
    </i>
    <i r="2">
      <x v="1"/>
    </i>
    <i>
      <x v="94"/>
    </i>
    <i r="1">
      <x v="22"/>
    </i>
    <i r="2">
      <x v="1"/>
    </i>
    <i>
      <x v="95"/>
    </i>
    <i r="1">
      <x v="55"/>
    </i>
    <i r="2">
      <x v="1"/>
    </i>
    <i r="1">
      <x v="185"/>
    </i>
    <i r="2">
      <x v="4"/>
    </i>
    <i r="1">
      <x v="206"/>
    </i>
    <i r="2">
      <x v="4"/>
    </i>
    <i>
      <x v="96"/>
    </i>
    <i r="1">
      <x v="45"/>
    </i>
    <i r="2">
      <x v="1"/>
    </i>
    <i>
      <x v="97"/>
    </i>
    <i r="1">
      <x v="216"/>
    </i>
    <i r="2">
      <x v="4"/>
    </i>
    <i>
      <x v="98"/>
    </i>
    <i r="1">
      <x v="54"/>
    </i>
    <i r="2">
      <x v="1"/>
    </i>
    <i r="1">
      <x v="93"/>
    </i>
    <i r="2">
      <x v="3"/>
    </i>
    <i r="1">
      <x v="145"/>
    </i>
    <i r="2">
      <x v="4"/>
    </i>
    <i r="1">
      <x v="155"/>
    </i>
    <i r="2">
      <x v="4"/>
    </i>
    <i>
      <x v="99"/>
    </i>
    <i r="1">
      <x v="160"/>
    </i>
    <i r="2">
      <x v="4"/>
    </i>
    <i r="1">
      <x v="166"/>
    </i>
    <i r="2">
      <x v="4"/>
    </i>
    <i>
      <x v="100"/>
    </i>
    <i r="1">
      <x v="87"/>
    </i>
    <i r="2">
      <x v="3"/>
    </i>
    <i r="1">
      <x v="116"/>
    </i>
    <i r="2">
      <x v="4"/>
    </i>
    <i r="1">
      <x v="117"/>
    </i>
    <i r="2">
      <x v="4"/>
    </i>
    <i r="1">
      <x v="118"/>
    </i>
    <i r="2">
      <x v="4"/>
    </i>
    <i r="1">
      <x v="119"/>
    </i>
    <i r="2">
      <x v="4"/>
    </i>
    <i r="1">
      <x v="124"/>
    </i>
    <i r="2">
      <x v="4"/>
    </i>
    <i r="1">
      <x v="177"/>
    </i>
    <i r="2">
      <x v="4"/>
    </i>
    <i r="1">
      <x v="186"/>
    </i>
    <i r="2">
      <x v="4"/>
    </i>
    <i r="1">
      <x v="187"/>
    </i>
    <i r="2">
      <x v="4"/>
    </i>
    <i r="1">
      <x v="201"/>
    </i>
    <i r="2">
      <x v="4"/>
    </i>
    <i r="1">
      <x v="213"/>
    </i>
    <i r="2">
      <x v="4"/>
    </i>
    <i r="1">
      <x v="214"/>
    </i>
    <i r="2">
      <x v="4"/>
    </i>
    <i r="1">
      <x v="222"/>
    </i>
    <i r="2">
      <x v="7"/>
    </i>
    <i>
      <x v="101"/>
    </i>
    <i r="1">
      <x v="52"/>
    </i>
    <i r="2">
      <x v="1"/>
    </i>
    <i r="1">
      <x v="121"/>
    </i>
    <i r="2">
      <x v="4"/>
    </i>
    <i r="1">
      <x v="162"/>
    </i>
    <i r="2">
      <x v="4"/>
    </i>
    <i>
      <x v="102"/>
    </i>
    <i r="1">
      <x v="84"/>
    </i>
    <i r="2">
      <x v="1"/>
    </i>
    <i t="grand">
      <x/>
    </i>
  </rowItems>
  <colItems count="1">
    <i/>
  </colItems>
  <pageFields count="1">
    <pageField fld="3" hier="-1"/>
  </pageFields>
  <dataFields count="1">
    <dataField name="Count of computer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92960-2666-4431-BEB2-59E43B17F228}" name="Table1" displayName="Table1" ref="A1:N231" totalsRowShown="0" headerRowDxfId="30" dataDxfId="28" headerRowBorderDxfId="29" tableBorderDxfId="27">
  <autoFilter ref="A1:N231" xr:uid="{C6D92960-2666-4431-BEB2-59E43B17F228}">
    <filterColumn colId="3">
      <filters>
        <filter val="602104021-WORKSHOP MGM"/>
      </filters>
    </filterColumn>
    <filterColumn colId="6">
      <filters>
        <filter val="Desktop"/>
        <filter val="LAPTOP"/>
        <filter val="LAPTOP-FPG"/>
      </filters>
    </filterColumn>
  </autoFilter>
  <sortState xmlns:xlrd2="http://schemas.microsoft.com/office/spreadsheetml/2017/richdata2" ref="A101:N217">
    <sortCondition ref="A1:A231"/>
  </sortState>
  <tableColumns count="14">
    <tableColumn id="1" xr3:uid="{5D59D713-F8A5-4077-A597-795348D0C0BD}" name="computername" dataDxfId="26"/>
    <tableColumn id="2" xr3:uid="{E6115327-13A3-4A35-B3A9-224662414FCC}" name="Employee" dataDxfId="25"/>
    <tableColumn id="3" xr3:uid="{0AFC5CCA-097A-440B-9163-A2C16048A279}" name=" User Name" dataDxfId="24"/>
    <tableColumn id="4" xr3:uid="{295A1FE5-B293-40C3-9C29-C7EBAE9A2E6C}" name="Department" dataDxfId="23"/>
    <tableColumn id="5" xr3:uid="{057C3BEC-BB8D-459F-A89A-233D179BF1A8}" name="HAT-Asset" dataDxfId="22"/>
    <tableColumn id="6" xr3:uid="{4EAB1CA6-8D24-4849-8B4C-1889827BEFCA}" name="LOCATION/MAC Address:" dataDxfId="21"/>
    <tableColumn id="7" xr3:uid="{AD78E6A9-F294-41A1-90D9-27BF7063182E}" name="TYPE" dataDxfId="20"/>
    <tableColumn id="8" xr3:uid="{DB5735F7-2991-4789-923D-31C59BC77139}" name="Description" dataDxfId="19"/>
    <tableColumn id="9" xr3:uid="{99598597-DA95-4467-850E-648BA913C0F6}" name="Sn-No" dataDxfId="18"/>
    <tableColumn id="10" xr3:uid="{734C01AC-FDC2-4166-8F78-F5AAB6820F57}" name="PO" dataDxfId="17"/>
    <tableColumn id="18" xr3:uid="{5D495287-C583-4C46-9513-32042CE586E5}" name="Tax IV" dataDxfId="16"/>
    <tableColumn id="11" xr3:uid="{464104A7-0110-46FF-B463-5DBCCFAA48E6}" name="Purchase Date: mm/yy" dataDxfId="15"/>
    <tableColumn id="12" xr3:uid="{02A2AFF3-0CC8-4BA4-AC84-76426B27A87C}" name="replacement mm/yy" dataDxfId="14"/>
    <tableColumn id="13" xr3:uid="{009B010C-30D9-4186-A6A5-73CA0AAD2D68}" name="Comment / Statu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40ABCD-D32F-4592-8E37-25FC89277FAC}" name="Table13" displayName="Table13" ref="A1:K16" totalsRowShown="0" headerRowDxfId="12" dataDxfId="11">
  <autoFilter ref="A1:K16" xr:uid="{01081F5E-6491-4E1F-9546-49A2E20546F4}"/>
  <sortState xmlns:xlrd2="http://schemas.microsoft.com/office/spreadsheetml/2017/richdata2" ref="A2:K16">
    <sortCondition ref="A1:A16"/>
  </sortState>
  <tableColumns count="11">
    <tableColumn id="1" xr3:uid="{17E11DF8-073F-419C-9159-0A65F7BF72F2}" name="Name" dataDxfId="10"/>
    <tableColumn id="12" xr3:uid="{F93BF2AE-E63E-4E84-B786-DEAED560FB6B}" name="ASSET TAG" dataDxfId="9"/>
    <tableColumn id="11" xr3:uid="{F70B24EA-A85A-47B9-86CD-ECA519C8C019}" name="Type" dataDxfId="8"/>
    <tableColumn id="2" xr3:uid="{9FCC23B0-EAB0-4546-9ECC-F6FD7024B36A}" name="Location" dataDxfId="7"/>
    <tableColumn id="10" xr3:uid="{A65EC63A-FDD6-4721-901B-FDE320089FDF}" name="IP_ADDRESS" dataDxfId="6"/>
    <tableColumn id="8" xr3:uid="{1DACA9F1-9147-4637-8499-D44A1B348CA1}" name="Model" dataDxfId="5"/>
    <tableColumn id="9" xr3:uid="{BD696278-80CB-4D7E-A802-D7ACBBEB9A87}" name="Serail" dataDxfId="4"/>
    <tableColumn id="7" xr3:uid="{07F1F786-40D4-4023-88AE-67525A1AF428}" name="MAC ADDRESS" dataDxfId="3"/>
    <tableColumn id="4" xr3:uid="{E7928B68-D895-4C25-92D5-DBB1C11337BF}" name="SAP" dataDxfId="2"/>
    <tableColumn id="5" xr3:uid="{7F68BA51-ACD4-4EDF-BD99-4E382AEB93A2}" name="Column1" dataDxfId="1"/>
    <tableColumn id="6" xr3:uid="{C2CED89C-E8E2-4C4A-B54D-EAB03FE98CC6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10.193.101.1/" TargetMode="External"/><Relationship Id="rId1" Type="http://schemas.openxmlformats.org/officeDocument/2006/relationships/hyperlink" Target="http://10.193.101.4/" TargetMode="External"/><Relationship Id="rId5" Type="http://schemas.openxmlformats.org/officeDocument/2006/relationships/table" Target="../tables/table2.xml"/><Relationship Id="rId4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B6C8-88F2-47FF-83EB-11FDF2547CC1}">
  <sheetPr codeName="Sheet1"/>
  <dimension ref="A1:B510"/>
  <sheetViews>
    <sheetView tabSelected="1" workbookViewId="0">
      <selection activeCell="A2" sqref="A2:XFD2"/>
    </sheetView>
  </sheetViews>
  <sheetFormatPr defaultRowHeight="12.75"/>
  <cols>
    <col min="1" max="1" width="36" bestFit="1" customWidth="1"/>
    <col min="2" max="2" width="23.28515625" bestFit="1" customWidth="1"/>
    <col min="3" max="3" width="23.7109375" bestFit="1" customWidth="1"/>
    <col min="4" max="4" width="16.42578125" bestFit="1" customWidth="1"/>
    <col min="5" max="5" width="22.42578125" bestFit="1" customWidth="1"/>
    <col min="6" max="6" width="27.5703125" bestFit="1" customWidth="1"/>
    <col min="7" max="7" width="20.42578125" bestFit="1" customWidth="1"/>
    <col min="8" max="8" width="21" bestFit="1" customWidth="1"/>
    <col min="9" max="9" width="11.7109375" bestFit="1" customWidth="1"/>
  </cols>
  <sheetData>
    <row r="1" spans="1:2">
      <c r="A1" s="121" t="s">
        <v>0</v>
      </c>
      <c r="B1" t="s">
        <v>1394</v>
      </c>
    </row>
    <row r="3" spans="1:2">
      <c r="B3" t="s">
        <v>1376</v>
      </c>
    </row>
    <row r="4" spans="1:2">
      <c r="A4" s="122" t="s">
        <v>181</v>
      </c>
      <c r="B4">
        <v>2</v>
      </c>
    </row>
    <row r="5" spans="1:2">
      <c r="A5" s="122" t="s">
        <v>375</v>
      </c>
      <c r="B5">
        <v>2</v>
      </c>
    </row>
    <row r="6" spans="1:2">
      <c r="A6" s="122" t="s">
        <v>330</v>
      </c>
      <c r="B6">
        <v>1</v>
      </c>
    </row>
    <row r="7" spans="1:2">
      <c r="A7" s="122" t="s">
        <v>136</v>
      </c>
      <c r="B7">
        <v>2</v>
      </c>
    </row>
    <row r="8" spans="1:2">
      <c r="A8" s="122" t="s">
        <v>745</v>
      </c>
      <c r="B8">
        <v>5</v>
      </c>
    </row>
    <row r="9" spans="1:2">
      <c r="A9" s="122" t="s">
        <v>48</v>
      </c>
      <c r="B9">
        <v>1</v>
      </c>
    </row>
    <row r="10" spans="1:2">
      <c r="A10" s="122" t="s">
        <v>1364</v>
      </c>
      <c r="B10">
        <v>1</v>
      </c>
    </row>
    <row r="11" spans="1:2">
      <c r="A11" s="122" t="s">
        <v>483</v>
      </c>
      <c r="B11">
        <v>3</v>
      </c>
    </row>
    <row r="12" spans="1:2">
      <c r="A12" s="257" t="s">
        <v>482</v>
      </c>
      <c r="B12">
        <v>1</v>
      </c>
    </row>
    <row r="13" spans="1:2">
      <c r="A13" s="258" t="s">
        <v>18</v>
      </c>
      <c r="B13">
        <v>1</v>
      </c>
    </row>
    <row r="14" spans="1:2">
      <c r="A14" s="257" t="s">
        <v>516</v>
      </c>
      <c r="B14">
        <v>1</v>
      </c>
    </row>
    <row r="15" spans="1:2">
      <c r="A15" s="258" t="s">
        <v>84</v>
      </c>
      <c r="B15">
        <v>1</v>
      </c>
    </row>
    <row r="16" spans="1:2">
      <c r="A16" s="257" t="s">
        <v>518</v>
      </c>
      <c r="B16">
        <v>1</v>
      </c>
    </row>
    <row r="17" spans="1:2">
      <c r="A17" s="258" t="s">
        <v>84</v>
      </c>
      <c r="B17">
        <v>1</v>
      </c>
    </row>
    <row r="18" spans="1:2">
      <c r="A18" s="122" t="s">
        <v>221</v>
      </c>
      <c r="B18">
        <v>3</v>
      </c>
    </row>
    <row r="19" spans="1:2">
      <c r="A19" s="257" t="s">
        <v>220</v>
      </c>
      <c r="B19">
        <v>1</v>
      </c>
    </row>
    <row r="20" spans="1:2">
      <c r="A20" s="258" t="s">
        <v>67</v>
      </c>
      <c r="B20">
        <v>1</v>
      </c>
    </row>
    <row r="21" spans="1:2">
      <c r="A21" s="257" t="s">
        <v>247</v>
      </c>
      <c r="B21">
        <v>1</v>
      </c>
    </row>
    <row r="22" spans="1:2">
      <c r="A22" s="258" t="s">
        <v>84</v>
      </c>
      <c r="B22">
        <v>1</v>
      </c>
    </row>
    <row r="23" spans="1:2">
      <c r="A23" s="257" t="s">
        <v>250</v>
      </c>
      <c r="B23">
        <v>1</v>
      </c>
    </row>
    <row r="24" spans="1:2">
      <c r="A24" s="258" t="s">
        <v>84</v>
      </c>
      <c r="B24">
        <v>1</v>
      </c>
    </row>
    <row r="25" spans="1:2">
      <c r="A25" s="122" t="s">
        <v>205</v>
      </c>
      <c r="B25">
        <v>1</v>
      </c>
    </row>
    <row r="26" spans="1:2">
      <c r="A26" s="257" t="s">
        <v>204</v>
      </c>
      <c r="B26">
        <v>1</v>
      </c>
    </row>
    <row r="27" spans="1:2">
      <c r="A27" s="258" t="s">
        <v>18</v>
      </c>
      <c r="B27">
        <v>1</v>
      </c>
    </row>
    <row r="28" spans="1:2">
      <c r="A28" s="122" t="s">
        <v>131</v>
      </c>
      <c r="B28">
        <v>1</v>
      </c>
    </row>
    <row r="29" spans="1:2">
      <c r="A29" s="122" t="s">
        <v>295</v>
      </c>
      <c r="B29">
        <v>2</v>
      </c>
    </row>
    <row r="30" spans="1:2">
      <c r="A30" s="122" t="s">
        <v>740</v>
      </c>
      <c r="B30">
        <v>1</v>
      </c>
    </row>
    <row r="31" spans="1:2">
      <c r="A31" s="257" t="s">
        <v>739</v>
      </c>
      <c r="B31">
        <v>1</v>
      </c>
    </row>
    <row r="32" spans="1:2">
      <c r="A32" s="258" t="s">
        <v>18</v>
      </c>
      <c r="B32">
        <v>1</v>
      </c>
    </row>
    <row r="33" spans="1:2">
      <c r="A33" s="122" t="s">
        <v>320</v>
      </c>
      <c r="B33">
        <v>3</v>
      </c>
    </row>
    <row r="34" spans="1:2">
      <c r="A34" s="257" t="s">
        <v>319</v>
      </c>
      <c r="B34">
        <v>1</v>
      </c>
    </row>
    <row r="35" spans="1:2">
      <c r="A35" s="258" t="s">
        <v>18</v>
      </c>
      <c r="B35">
        <v>1</v>
      </c>
    </row>
    <row r="36" spans="1:2">
      <c r="A36" s="257" t="s">
        <v>86</v>
      </c>
      <c r="B36">
        <v>1</v>
      </c>
    </row>
    <row r="37" spans="1:2">
      <c r="A37" s="258" t="s">
        <v>84</v>
      </c>
      <c r="B37">
        <v>1</v>
      </c>
    </row>
    <row r="38" spans="1:2">
      <c r="A38" s="257" t="s">
        <v>382</v>
      </c>
      <c r="B38">
        <v>1</v>
      </c>
    </row>
    <row r="39" spans="1:2">
      <c r="A39" s="258" t="s">
        <v>84</v>
      </c>
      <c r="B39">
        <v>1</v>
      </c>
    </row>
    <row r="40" spans="1:2">
      <c r="A40" s="122" t="s">
        <v>42</v>
      </c>
      <c r="B40">
        <v>2</v>
      </c>
    </row>
    <row r="41" spans="1:2">
      <c r="A41" s="257" t="s">
        <v>41</v>
      </c>
      <c r="B41">
        <v>1</v>
      </c>
    </row>
    <row r="42" spans="1:2">
      <c r="A42" s="258" t="s">
        <v>18</v>
      </c>
      <c r="B42">
        <v>1</v>
      </c>
    </row>
    <row r="43" spans="1:2">
      <c r="A43" s="257" t="s">
        <v>73</v>
      </c>
      <c r="B43">
        <v>1</v>
      </c>
    </row>
    <row r="44" spans="1:2">
      <c r="A44" s="258" t="s">
        <v>67</v>
      </c>
      <c r="B44">
        <v>1</v>
      </c>
    </row>
    <row r="45" spans="1:2">
      <c r="A45" s="122" t="s">
        <v>677</v>
      </c>
      <c r="B45">
        <v>1</v>
      </c>
    </row>
    <row r="46" spans="1:2">
      <c r="A46" s="257" t="s">
        <v>676</v>
      </c>
      <c r="B46">
        <v>1</v>
      </c>
    </row>
    <row r="47" spans="1:2">
      <c r="A47" s="258" t="s">
        <v>18</v>
      </c>
      <c r="B47">
        <v>1</v>
      </c>
    </row>
    <row r="48" spans="1:2">
      <c r="A48" s="122" t="s">
        <v>734</v>
      </c>
      <c r="B48">
        <v>1</v>
      </c>
    </row>
    <row r="49" spans="1:2">
      <c r="A49" s="257" t="s">
        <v>733</v>
      </c>
      <c r="B49">
        <v>1</v>
      </c>
    </row>
    <row r="50" spans="1:2">
      <c r="A50" s="258" t="s">
        <v>84</v>
      </c>
      <c r="B50">
        <v>1</v>
      </c>
    </row>
    <row r="51" spans="1:2">
      <c r="A51" s="122" t="s">
        <v>257</v>
      </c>
      <c r="B51">
        <v>2</v>
      </c>
    </row>
    <row r="52" spans="1:2">
      <c r="A52" s="122" t="s">
        <v>327</v>
      </c>
      <c r="B52">
        <v>1</v>
      </c>
    </row>
    <row r="53" spans="1:2">
      <c r="A53" s="257" t="s">
        <v>326</v>
      </c>
      <c r="B53">
        <v>1</v>
      </c>
    </row>
    <row r="54" spans="1:2">
      <c r="A54" s="258" t="s">
        <v>67</v>
      </c>
      <c r="B54">
        <v>1</v>
      </c>
    </row>
    <row r="55" spans="1:2">
      <c r="A55" s="122" t="s">
        <v>749</v>
      </c>
      <c r="B55">
        <v>3</v>
      </c>
    </row>
    <row r="56" spans="1:2">
      <c r="A56" s="257" t="s">
        <v>748</v>
      </c>
      <c r="B56">
        <v>1</v>
      </c>
    </row>
    <row r="57" spans="1:2">
      <c r="A57" s="258" t="s">
        <v>18</v>
      </c>
      <c r="B57">
        <v>1</v>
      </c>
    </row>
    <row r="58" spans="1:2">
      <c r="A58" s="257" t="s">
        <v>775</v>
      </c>
      <c r="B58">
        <v>1</v>
      </c>
    </row>
    <row r="59" spans="1:2">
      <c r="A59" s="258" t="s">
        <v>84</v>
      </c>
      <c r="B59">
        <v>1</v>
      </c>
    </row>
    <row r="60" spans="1:2">
      <c r="A60" s="257" t="s">
        <v>778</v>
      </c>
      <c r="B60">
        <v>1</v>
      </c>
    </row>
    <row r="61" spans="1:2">
      <c r="A61" s="258" t="s">
        <v>84</v>
      </c>
      <c r="B61">
        <v>1</v>
      </c>
    </row>
    <row r="62" spans="1:2">
      <c r="A62" s="122" t="s">
        <v>87</v>
      </c>
      <c r="B62">
        <v>2</v>
      </c>
    </row>
    <row r="63" spans="1:2">
      <c r="A63" s="257" t="s">
        <v>86</v>
      </c>
      <c r="B63">
        <v>1</v>
      </c>
    </row>
    <row r="64" spans="1:2">
      <c r="A64" s="258" t="s">
        <v>84</v>
      </c>
      <c r="B64">
        <v>1</v>
      </c>
    </row>
    <row r="65" spans="1:2">
      <c r="A65" s="257" t="s">
        <v>90</v>
      </c>
      <c r="B65">
        <v>1</v>
      </c>
    </row>
    <row r="66" spans="1:2">
      <c r="A66" s="258" t="s">
        <v>84</v>
      </c>
      <c r="B66">
        <v>1</v>
      </c>
    </row>
    <row r="67" spans="1:2">
      <c r="A67" s="122" t="s">
        <v>831</v>
      </c>
      <c r="B67">
        <v>1</v>
      </c>
    </row>
    <row r="68" spans="1:2">
      <c r="A68" s="122" t="s">
        <v>812</v>
      </c>
      <c r="B68">
        <v>1</v>
      </c>
    </row>
    <row r="69" spans="1:2">
      <c r="A69" s="257" t="s">
        <v>811</v>
      </c>
      <c r="B69">
        <v>1</v>
      </c>
    </row>
    <row r="70" spans="1:2">
      <c r="A70" s="258" t="s">
        <v>84</v>
      </c>
      <c r="B70">
        <v>1</v>
      </c>
    </row>
    <row r="71" spans="1:2">
      <c r="A71" s="122" t="s">
        <v>31</v>
      </c>
      <c r="B71">
        <v>1</v>
      </c>
    </row>
    <row r="72" spans="1:2">
      <c r="A72" s="257" t="s">
        <v>30</v>
      </c>
      <c r="B72">
        <v>1</v>
      </c>
    </row>
    <row r="73" spans="1:2">
      <c r="A73" s="258" t="s">
        <v>18</v>
      </c>
      <c r="B73">
        <v>1</v>
      </c>
    </row>
    <row r="74" spans="1:2">
      <c r="A74" s="122" t="s">
        <v>77</v>
      </c>
      <c r="B74">
        <v>1</v>
      </c>
    </row>
    <row r="75" spans="1:2">
      <c r="A75" s="257" t="s">
        <v>76</v>
      </c>
      <c r="B75">
        <v>1</v>
      </c>
    </row>
    <row r="76" spans="1:2">
      <c r="A76" s="258" t="s">
        <v>81</v>
      </c>
      <c r="B76">
        <v>1</v>
      </c>
    </row>
    <row r="77" spans="1:2">
      <c r="A77" s="122" t="s">
        <v>473</v>
      </c>
      <c r="B77">
        <v>3</v>
      </c>
    </row>
    <row r="78" spans="1:2">
      <c r="A78" s="257" t="s">
        <v>472</v>
      </c>
      <c r="B78">
        <v>1</v>
      </c>
    </row>
    <row r="79" spans="1:2">
      <c r="A79" s="258" t="s">
        <v>18</v>
      </c>
      <c r="B79">
        <v>1</v>
      </c>
    </row>
    <row r="80" spans="1:2">
      <c r="A80" s="257" t="s">
        <v>770</v>
      </c>
      <c r="B80">
        <v>1</v>
      </c>
    </row>
    <row r="81" spans="1:2">
      <c r="A81" s="258" t="s">
        <v>84</v>
      </c>
      <c r="B81">
        <v>1</v>
      </c>
    </row>
    <row r="82" spans="1:2">
      <c r="A82" s="257" t="s">
        <v>787</v>
      </c>
      <c r="B82">
        <v>1</v>
      </c>
    </row>
    <row r="83" spans="1:2">
      <c r="A83" s="258" t="s">
        <v>84</v>
      </c>
      <c r="B83">
        <v>1</v>
      </c>
    </row>
    <row r="84" spans="1:2">
      <c r="A84" s="122" t="s">
        <v>425</v>
      </c>
      <c r="B84">
        <v>3</v>
      </c>
    </row>
    <row r="85" spans="1:2">
      <c r="A85" s="257" t="s">
        <v>424</v>
      </c>
      <c r="B85">
        <v>1</v>
      </c>
    </row>
    <row r="86" spans="1:2">
      <c r="A86" s="258" t="s">
        <v>18</v>
      </c>
      <c r="B86">
        <v>1</v>
      </c>
    </row>
    <row r="87" spans="1:2">
      <c r="A87" s="257" t="s">
        <v>520</v>
      </c>
      <c r="B87">
        <v>1</v>
      </c>
    </row>
    <row r="88" spans="1:2">
      <c r="A88" s="258" t="s">
        <v>84</v>
      </c>
      <c r="B88">
        <v>1</v>
      </c>
    </row>
    <row r="89" spans="1:2">
      <c r="A89" s="257" t="s">
        <v>522</v>
      </c>
      <c r="B89">
        <v>1</v>
      </c>
    </row>
    <row r="90" spans="1:2">
      <c r="A90" s="258" t="s">
        <v>84</v>
      </c>
      <c r="B90">
        <v>1</v>
      </c>
    </row>
    <row r="91" spans="1:2">
      <c r="A91" s="122" t="s">
        <v>412</v>
      </c>
      <c r="B91">
        <v>4</v>
      </c>
    </row>
    <row r="92" spans="1:2">
      <c r="A92" s="257" t="s">
        <v>411</v>
      </c>
      <c r="B92">
        <v>1</v>
      </c>
    </row>
    <row r="93" spans="1:2">
      <c r="A93" s="258" t="s">
        <v>18</v>
      </c>
      <c r="B93">
        <v>1</v>
      </c>
    </row>
    <row r="94" spans="1:2">
      <c r="A94" s="257" t="s">
        <v>421</v>
      </c>
      <c r="B94">
        <v>1</v>
      </c>
    </row>
    <row r="95" spans="1:2">
      <c r="A95" s="258" t="s">
        <v>67</v>
      </c>
      <c r="B95">
        <v>1</v>
      </c>
    </row>
    <row r="96" spans="1:2">
      <c r="A96" s="257" t="s">
        <v>439</v>
      </c>
      <c r="B96">
        <v>1</v>
      </c>
    </row>
    <row r="97" spans="1:2">
      <c r="A97" s="258" t="s">
        <v>84</v>
      </c>
      <c r="B97">
        <v>1</v>
      </c>
    </row>
    <row r="98" spans="1:2">
      <c r="A98" s="257" t="s">
        <v>441</v>
      </c>
      <c r="B98">
        <v>1</v>
      </c>
    </row>
    <row r="99" spans="1:2">
      <c r="A99" s="258" t="s">
        <v>84</v>
      </c>
      <c r="B99">
        <v>1</v>
      </c>
    </row>
    <row r="100" spans="1:2">
      <c r="A100" s="122" t="s">
        <v>315</v>
      </c>
      <c r="B100">
        <v>1</v>
      </c>
    </row>
    <row r="101" spans="1:2">
      <c r="A101" s="257" t="s">
        <v>314</v>
      </c>
      <c r="B101">
        <v>1</v>
      </c>
    </row>
    <row r="102" spans="1:2">
      <c r="A102" s="258" t="s">
        <v>18</v>
      </c>
      <c r="B102">
        <v>1</v>
      </c>
    </row>
    <row r="103" spans="1:2">
      <c r="A103" s="122" t="s">
        <v>384</v>
      </c>
      <c r="B103">
        <v>2</v>
      </c>
    </row>
    <row r="104" spans="1:2">
      <c r="A104" s="257" t="s">
        <v>383</v>
      </c>
      <c r="B104">
        <v>1</v>
      </c>
    </row>
    <row r="105" spans="1:2">
      <c r="A105" s="258" t="s">
        <v>84</v>
      </c>
      <c r="B105">
        <v>1</v>
      </c>
    </row>
    <row r="106" spans="1:2">
      <c r="A106" s="257" t="s">
        <v>387</v>
      </c>
      <c r="B106">
        <v>1</v>
      </c>
    </row>
    <row r="107" spans="1:2">
      <c r="A107" s="258" t="s">
        <v>84</v>
      </c>
      <c r="B107">
        <v>1</v>
      </c>
    </row>
    <row r="108" spans="1:2">
      <c r="A108" s="122" t="s">
        <v>697</v>
      </c>
      <c r="B108">
        <v>3</v>
      </c>
    </row>
    <row r="109" spans="1:2">
      <c r="A109" s="257" t="s">
        <v>696</v>
      </c>
      <c r="B109">
        <v>1</v>
      </c>
    </row>
    <row r="110" spans="1:2">
      <c r="A110" s="258" t="s">
        <v>18</v>
      </c>
      <c r="B110">
        <v>1</v>
      </c>
    </row>
    <row r="111" spans="1:2">
      <c r="A111" s="257" t="s">
        <v>723</v>
      </c>
      <c r="B111">
        <v>1</v>
      </c>
    </row>
    <row r="112" spans="1:2">
      <c r="A112" s="258" t="s">
        <v>84</v>
      </c>
      <c r="B112">
        <v>1</v>
      </c>
    </row>
    <row r="113" spans="1:2">
      <c r="A113" s="257" t="s">
        <v>726</v>
      </c>
      <c r="B113">
        <v>1</v>
      </c>
    </row>
    <row r="114" spans="1:2">
      <c r="A114" s="258" t="s">
        <v>84</v>
      </c>
      <c r="B114">
        <v>1</v>
      </c>
    </row>
    <row r="115" spans="1:2">
      <c r="A115" s="122" t="s">
        <v>104</v>
      </c>
      <c r="B115">
        <v>4</v>
      </c>
    </row>
    <row r="116" spans="1:2">
      <c r="A116" s="257" t="s">
        <v>103</v>
      </c>
      <c r="B116">
        <v>1</v>
      </c>
    </row>
    <row r="117" spans="1:2">
      <c r="A117" s="258" t="s">
        <v>18</v>
      </c>
      <c r="B117">
        <v>1</v>
      </c>
    </row>
    <row r="118" spans="1:2">
      <c r="A118" s="257" t="s">
        <v>169</v>
      </c>
      <c r="B118">
        <v>1</v>
      </c>
    </row>
    <row r="119" spans="1:2">
      <c r="A119" s="258" t="s">
        <v>84</v>
      </c>
      <c r="B119">
        <v>1</v>
      </c>
    </row>
    <row r="120" spans="1:2">
      <c r="A120" s="257" t="s">
        <v>171</v>
      </c>
      <c r="B120">
        <v>1</v>
      </c>
    </row>
    <row r="121" spans="1:2">
      <c r="A121" s="258" t="s">
        <v>84</v>
      </c>
      <c r="B121">
        <v>1</v>
      </c>
    </row>
    <row r="122" spans="1:2">
      <c r="A122" s="257" t="s">
        <v>833</v>
      </c>
      <c r="B122">
        <v>1</v>
      </c>
    </row>
    <row r="123" spans="1:2">
      <c r="A123" s="258" t="s">
        <v>84</v>
      </c>
      <c r="B123">
        <v>1</v>
      </c>
    </row>
    <row r="124" spans="1:2">
      <c r="A124" s="122" t="s">
        <v>843</v>
      </c>
      <c r="B124">
        <v>1</v>
      </c>
    </row>
    <row r="125" spans="1:2">
      <c r="A125" s="257" t="s">
        <v>842</v>
      </c>
      <c r="B125">
        <v>1</v>
      </c>
    </row>
    <row r="126" spans="1:2">
      <c r="A126" s="258" t="s">
        <v>84</v>
      </c>
      <c r="B126">
        <v>1</v>
      </c>
    </row>
    <row r="127" spans="1:2">
      <c r="A127" s="122" t="s">
        <v>288</v>
      </c>
      <c r="B127">
        <v>2</v>
      </c>
    </row>
    <row r="128" spans="1:2">
      <c r="A128" s="257" t="s">
        <v>287</v>
      </c>
      <c r="B128">
        <v>1</v>
      </c>
    </row>
    <row r="129" spans="1:2">
      <c r="A129" s="258" t="s">
        <v>18</v>
      </c>
      <c r="B129">
        <v>1</v>
      </c>
    </row>
    <row r="130" spans="1:2">
      <c r="A130" s="257" t="s">
        <v>371</v>
      </c>
      <c r="B130">
        <v>1</v>
      </c>
    </row>
    <row r="131" spans="1:2">
      <c r="A131" s="258" t="s">
        <v>67</v>
      </c>
      <c r="B131">
        <v>1</v>
      </c>
    </row>
    <row r="132" spans="1:2">
      <c r="A132" s="122" t="s">
        <v>300</v>
      </c>
      <c r="B132">
        <v>1</v>
      </c>
    </row>
    <row r="133" spans="1:2">
      <c r="A133" s="257" t="s">
        <v>299</v>
      </c>
      <c r="B133">
        <v>1</v>
      </c>
    </row>
    <row r="134" spans="1:2">
      <c r="A134" s="258" t="s">
        <v>18</v>
      </c>
      <c r="B134">
        <v>1</v>
      </c>
    </row>
    <row r="135" spans="1:2">
      <c r="A135" s="122" t="s">
        <v>1365</v>
      </c>
      <c r="B135">
        <v>1</v>
      </c>
    </row>
    <row r="136" spans="1:2">
      <c r="A136" s="257" t="s">
        <v>1366</v>
      </c>
      <c r="B136">
        <v>1</v>
      </c>
    </row>
    <row r="137" spans="1:2">
      <c r="A137" s="258" t="s">
        <v>143</v>
      </c>
      <c r="B137">
        <v>1</v>
      </c>
    </row>
    <row r="138" spans="1:2">
      <c r="A138" s="122" t="s">
        <v>758</v>
      </c>
      <c r="B138">
        <v>3</v>
      </c>
    </row>
    <row r="139" spans="1:2">
      <c r="A139" s="257" t="s">
        <v>757</v>
      </c>
      <c r="B139">
        <v>1</v>
      </c>
    </row>
    <row r="140" spans="1:2">
      <c r="A140" s="258" t="s">
        <v>18</v>
      </c>
      <c r="B140">
        <v>1</v>
      </c>
    </row>
    <row r="141" spans="1:2">
      <c r="A141" s="257" t="s">
        <v>789</v>
      </c>
      <c r="B141">
        <v>1</v>
      </c>
    </row>
    <row r="142" spans="1:2">
      <c r="A142" s="258" t="s">
        <v>84</v>
      </c>
      <c r="B142">
        <v>1</v>
      </c>
    </row>
    <row r="143" spans="1:2">
      <c r="A143" s="257" t="s">
        <v>792</v>
      </c>
      <c r="B143">
        <v>1</v>
      </c>
    </row>
    <row r="144" spans="1:2">
      <c r="A144" s="258" t="s">
        <v>84</v>
      </c>
      <c r="B144">
        <v>1</v>
      </c>
    </row>
    <row r="145" spans="1:2">
      <c r="A145" s="122" t="s">
        <v>468</v>
      </c>
      <c r="B145">
        <v>3</v>
      </c>
    </row>
    <row r="146" spans="1:2">
      <c r="A146" s="257" t="s">
        <v>467</v>
      </c>
      <c r="B146">
        <v>1</v>
      </c>
    </row>
    <row r="147" spans="1:2">
      <c r="A147" s="258" t="s">
        <v>18</v>
      </c>
      <c r="B147">
        <v>1</v>
      </c>
    </row>
    <row r="148" spans="1:2">
      <c r="A148" s="257" t="s">
        <v>540</v>
      </c>
      <c r="B148">
        <v>1</v>
      </c>
    </row>
    <row r="149" spans="1:2">
      <c r="A149" s="258" t="s">
        <v>84</v>
      </c>
      <c r="B149">
        <v>1</v>
      </c>
    </row>
    <row r="150" spans="1:2">
      <c r="A150" s="257" t="s">
        <v>542</v>
      </c>
      <c r="B150">
        <v>1</v>
      </c>
    </row>
    <row r="151" spans="1:2">
      <c r="A151" s="258" t="s">
        <v>84</v>
      </c>
      <c r="B151">
        <v>1</v>
      </c>
    </row>
    <row r="152" spans="1:2">
      <c r="A152" s="122" t="s">
        <v>116</v>
      </c>
      <c r="B152">
        <v>3</v>
      </c>
    </row>
    <row r="153" spans="1:2">
      <c r="A153" s="257" t="s">
        <v>115</v>
      </c>
      <c r="B153">
        <v>1</v>
      </c>
    </row>
    <row r="154" spans="1:2">
      <c r="A154" s="258" t="s">
        <v>18</v>
      </c>
      <c r="B154">
        <v>1</v>
      </c>
    </row>
    <row r="155" spans="1:2">
      <c r="A155" s="257" t="s">
        <v>173</v>
      </c>
      <c r="B155">
        <v>1</v>
      </c>
    </row>
    <row r="156" spans="1:2">
      <c r="A156" s="258" t="s">
        <v>84</v>
      </c>
      <c r="B156">
        <v>1</v>
      </c>
    </row>
    <row r="157" spans="1:2">
      <c r="A157" s="257" t="s">
        <v>176</v>
      </c>
      <c r="B157">
        <v>1</v>
      </c>
    </row>
    <row r="158" spans="1:2">
      <c r="A158" s="258" t="s">
        <v>84</v>
      </c>
      <c r="B158">
        <v>1</v>
      </c>
    </row>
    <row r="159" spans="1:2">
      <c r="A159" s="122" t="s">
        <v>158</v>
      </c>
      <c r="B159">
        <v>3</v>
      </c>
    </row>
    <row r="160" spans="1:2">
      <c r="A160" s="257" t="s">
        <v>343</v>
      </c>
      <c r="B160">
        <v>1</v>
      </c>
    </row>
    <row r="161" spans="1:2">
      <c r="A161" s="258" t="s">
        <v>18</v>
      </c>
      <c r="B161">
        <v>1</v>
      </c>
    </row>
    <row r="162" spans="1:2">
      <c r="A162" s="257" t="s">
        <v>388</v>
      </c>
      <c r="B162">
        <v>1</v>
      </c>
    </row>
    <row r="163" spans="1:2">
      <c r="A163" s="258" t="s">
        <v>84</v>
      </c>
      <c r="B163">
        <v>1</v>
      </c>
    </row>
    <row r="164" spans="1:2">
      <c r="A164" s="257" t="s">
        <v>391</v>
      </c>
      <c r="B164">
        <v>1</v>
      </c>
    </row>
    <row r="165" spans="1:2">
      <c r="A165" s="258" t="s">
        <v>84</v>
      </c>
      <c r="B165">
        <v>1</v>
      </c>
    </row>
    <row r="166" spans="1:2">
      <c r="A166" s="122" t="s">
        <v>334</v>
      </c>
      <c r="B166">
        <v>1</v>
      </c>
    </row>
    <row r="167" spans="1:2">
      <c r="A167" s="257" t="s">
        <v>333</v>
      </c>
      <c r="B167">
        <v>1</v>
      </c>
    </row>
    <row r="168" spans="1:2">
      <c r="A168" s="258" t="s">
        <v>18</v>
      </c>
      <c r="B168">
        <v>1</v>
      </c>
    </row>
    <row r="169" spans="1:2">
      <c r="A169" s="122" t="s">
        <v>110</v>
      </c>
      <c r="B169">
        <v>3</v>
      </c>
    </row>
    <row r="170" spans="1:2">
      <c r="A170" s="257" t="s">
        <v>109</v>
      </c>
      <c r="B170">
        <v>1</v>
      </c>
    </row>
    <row r="171" spans="1:2">
      <c r="A171" s="258" t="s">
        <v>18</v>
      </c>
      <c r="B171">
        <v>1</v>
      </c>
    </row>
    <row r="172" spans="1:2">
      <c r="A172" s="257" t="s">
        <v>185</v>
      </c>
      <c r="B172">
        <v>1</v>
      </c>
    </row>
    <row r="173" spans="1:2">
      <c r="A173" s="258" t="s">
        <v>84</v>
      </c>
      <c r="B173">
        <v>1</v>
      </c>
    </row>
    <row r="174" spans="1:2">
      <c r="A174" s="257" t="s">
        <v>189</v>
      </c>
      <c r="B174">
        <v>1</v>
      </c>
    </row>
    <row r="175" spans="1:2">
      <c r="A175" s="258" t="s">
        <v>84</v>
      </c>
      <c r="B175">
        <v>1</v>
      </c>
    </row>
    <row r="176" spans="1:2">
      <c r="A176" s="122" t="s">
        <v>376</v>
      </c>
      <c r="B176">
        <v>2</v>
      </c>
    </row>
    <row r="177" spans="1:2">
      <c r="A177" s="257" t="s">
        <v>435</v>
      </c>
      <c r="B177">
        <v>1</v>
      </c>
    </row>
    <row r="178" spans="1:2">
      <c r="A178" s="258" t="s">
        <v>84</v>
      </c>
      <c r="B178">
        <v>1</v>
      </c>
    </row>
    <row r="179" spans="1:2">
      <c r="A179" s="257" t="s">
        <v>437</v>
      </c>
      <c r="B179">
        <v>1</v>
      </c>
    </row>
    <row r="180" spans="1:2">
      <c r="A180" s="258" t="s">
        <v>84</v>
      </c>
      <c r="B180">
        <v>1</v>
      </c>
    </row>
    <row r="181" spans="1:2">
      <c r="A181" s="122" t="s">
        <v>701</v>
      </c>
      <c r="B181">
        <v>3</v>
      </c>
    </row>
    <row r="182" spans="1:2">
      <c r="A182" s="257" t="s">
        <v>700</v>
      </c>
      <c r="B182">
        <v>1</v>
      </c>
    </row>
    <row r="183" spans="1:2">
      <c r="A183" s="258" t="s">
        <v>18</v>
      </c>
      <c r="B183">
        <v>1</v>
      </c>
    </row>
    <row r="184" spans="1:2">
      <c r="A184" s="257" t="s">
        <v>729</v>
      </c>
      <c r="B184">
        <v>1</v>
      </c>
    </row>
    <row r="185" spans="1:2">
      <c r="A185" s="258" t="s">
        <v>84</v>
      </c>
      <c r="B185">
        <v>1</v>
      </c>
    </row>
    <row r="186" spans="1:2">
      <c r="A186" s="257" t="s">
        <v>737</v>
      </c>
      <c r="B186">
        <v>1</v>
      </c>
    </row>
    <row r="187" spans="1:2">
      <c r="A187" s="258" t="s">
        <v>84</v>
      </c>
      <c r="B187">
        <v>1</v>
      </c>
    </row>
    <row r="188" spans="1:2">
      <c r="A188" s="122" t="s">
        <v>660</v>
      </c>
      <c r="B188">
        <v>4</v>
      </c>
    </row>
    <row r="189" spans="1:2">
      <c r="A189" s="257" t="s">
        <v>659</v>
      </c>
      <c r="B189">
        <v>1</v>
      </c>
    </row>
    <row r="190" spans="1:2">
      <c r="A190" s="258" t="s">
        <v>18</v>
      </c>
      <c r="B190">
        <v>1</v>
      </c>
    </row>
    <row r="191" spans="1:2">
      <c r="A191" s="257" t="s">
        <v>673</v>
      </c>
      <c r="B191">
        <v>1</v>
      </c>
    </row>
    <row r="192" spans="1:2">
      <c r="A192" s="258" t="s">
        <v>67</v>
      </c>
      <c r="B192">
        <v>1</v>
      </c>
    </row>
    <row r="193" spans="1:2">
      <c r="A193" s="257" t="s">
        <v>685</v>
      </c>
      <c r="B193">
        <v>1</v>
      </c>
    </row>
    <row r="194" spans="1:2">
      <c r="A194" s="258" t="s">
        <v>84</v>
      </c>
      <c r="B194">
        <v>1</v>
      </c>
    </row>
    <row r="195" spans="1:2">
      <c r="A195" s="257" t="s">
        <v>688</v>
      </c>
      <c r="B195">
        <v>1</v>
      </c>
    </row>
    <row r="196" spans="1:2">
      <c r="A196" s="258" t="s">
        <v>84</v>
      </c>
      <c r="B196">
        <v>1</v>
      </c>
    </row>
    <row r="197" spans="1:2">
      <c r="A197" s="122" t="s">
        <v>270</v>
      </c>
      <c r="B197">
        <v>1</v>
      </c>
    </row>
    <row r="198" spans="1:2">
      <c r="A198" s="257" t="s">
        <v>269</v>
      </c>
      <c r="B198">
        <v>1</v>
      </c>
    </row>
    <row r="199" spans="1:2">
      <c r="A199" s="258" t="s">
        <v>143</v>
      </c>
      <c r="B199">
        <v>1</v>
      </c>
    </row>
    <row r="200" spans="1:2">
      <c r="A200" s="122" t="s">
        <v>215</v>
      </c>
      <c r="B200">
        <v>3</v>
      </c>
    </row>
    <row r="201" spans="1:2">
      <c r="A201" s="257" t="s">
        <v>214</v>
      </c>
      <c r="B201">
        <v>1</v>
      </c>
    </row>
    <row r="202" spans="1:2">
      <c r="A202" s="258" t="s">
        <v>18</v>
      </c>
      <c r="B202">
        <v>1</v>
      </c>
    </row>
    <row r="203" spans="1:2">
      <c r="A203" s="257" t="s">
        <v>238</v>
      </c>
      <c r="B203">
        <v>1</v>
      </c>
    </row>
    <row r="204" spans="1:2">
      <c r="A204" s="258" t="s">
        <v>84</v>
      </c>
      <c r="B204">
        <v>1</v>
      </c>
    </row>
    <row r="205" spans="1:2">
      <c r="A205" s="257" t="s">
        <v>241</v>
      </c>
      <c r="B205">
        <v>1</v>
      </c>
    </row>
    <row r="206" spans="1:2">
      <c r="A206" s="258" t="s">
        <v>84</v>
      </c>
      <c r="B206">
        <v>1</v>
      </c>
    </row>
    <row r="207" spans="1:2">
      <c r="A207" s="122" t="s">
        <v>59</v>
      </c>
      <c r="B207">
        <v>1</v>
      </c>
    </row>
    <row r="208" spans="1:2">
      <c r="A208" s="257" t="s">
        <v>58</v>
      </c>
      <c r="B208">
        <v>1</v>
      </c>
    </row>
    <row r="209" spans="1:2">
      <c r="A209" s="258" t="s">
        <v>18</v>
      </c>
      <c r="B209">
        <v>1</v>
      </c>
    </row>
    <row r="210" spans="1:2">
      <c r="A210" s="122" t="s">
        <v>14</v>
      </c>
      <c r="B210">
        <v>3</v>
      </c>
    </row>
    <row r="211" spans="1:2">
      <c r="A211" s="257" t="s">
        <v>13</v>
      </c>
      <c r="B211">
        <v>1</v>
      </c>
    </row>
    <row r="212" spans="1:2">
      <c r="A212" s="258" t="s">
        <v>18</v>
      </c>
      <c r="B212">
        <v>1</v>
      </c>
    </row>
    <row r="213" spans="1:2">
      <c r="A213" s="257" t="s">
        <v>368</v>
      </c>
      <c r="B213">
        <v>1</v>
      </c>
    </row>
    <row r="214" spans="1:2">
      <c r="A214" s="258" t="s">
        <v>18</v>
      </c>
      <c r="B214">
        <v>1</v>
      </c>
    </row>
    <row r="215" spans="1:2">
      <c r="A215" s="257" t="s">
        <v>324</v>
      </c>
      <c r="B215">
        <v>1</v>
      </c>
    </row>
    <row r="216" spans="1:2">
      <c r="A216" s="258" t="s">
        <v>67</v>
      </c>
      <c r="B216">
        <v>1</v>
      </c>
    </row>
    <row r="217" spans="1:2">
      <c r="A217" s="122" t="s">
        <v>456</v>
      </c>
      <c r="B217">
        <v>3</v>
      </c>
    </row>
    <row r="218" spans="1:2">
      <c r="A218" s="257" t="s">
        <v>455</v>
      </c>
      <c r="B218">
        <v>1</v>
      </c>
    </row>
    <row r="219" spans="1:2">
      <c r="A219" s="258" t="s">
        <v>18</v>
      </c>
      <c r="B219">
        <v>1</v>
      </c>
    </row>
    <row r="220" spans="1:2">
      <c r="A220" s="257" t="s">
        <v>524</v>
      </c>
      <c r="B220">
        <v>1</v>
      </c>
    </row>
    <row r="221" spans="1:2">
      <c r="A221" s="258" t="s">
        <v>84</v>
      </c>
      <c r="B221">
        <v>1</v>
      </c>
    </row>
    <row r="222" spans="1:2">
      <c r="A222" s="257" t="s">
        <v>526</v>
      </c>
      <c r="B222">
        <v>1</v>
      </c>
    </row>
    <row r="223" spans="1:2">
      <c r="A223" s="258" t="s">
        <v>84</v>
      </c>
      <c r="B223">
        <v>1</v>
      </c>
    </row>
    <row r="224" spans="1:2">
      <c r="A224" s="122" t="s">
        <v>199</v>
      </c>
      <c r="B224">
        <v>3</v>
      </c>
    </row>
    <row r="225" spans="1:2">
      <c r="A225" s="257" t="s">
        <v>198</v>
      </c>
      <c r="B225">
        <v>1</v>
      </c>
    </row>
    <row r="226" spans="1:2">
      <c r="A226" s="258" t="s">
        <v>18</v>
      </c>
      <c r="B226">
        <v>1</v>
      </c>
    </row>
    <row r="227" spans="1:2">
      <c r="A227" s="257" t="s">
        <v>242</v>
      </c>
      <c r="B227">
        <v>1</v>
      </c>
    </row>
    <row r="228" spans="1:2">
      <c r="A228" s="258" t="s">
        <v>84</v>
      </c>
      <c r="B228">
        <v>1</v>
      </c>
    </row>
    <row r="229" spans="1:2">
      <c r="A229" s="257" t="s">
        <v>245</v>
      </c>
      <c r="B229">
        <v>1</v>
      </c>
    </row>
    <row r="230" spans="1:2">
      <c r="A230" s="258" t="s">
        <v>84</v>
      </c>
      <c r="B230">
        <v>1</v>
      </c>
    </row>
    <row r="231" spans="1:2">
      <c r="A231" s="122" t="s">
        <v>705</v>
      </c>
      <c r="B231">
        <v>3</v>
      </c>
    </row>
    <row r="232" spans="1:2">
      <c r="A232" s="257" t="s">
        <v>704</v>
      </c>
      <c r="B232">
        <v>1</v>
      </c>
    </row>
    <row r="233" spans="1:2">
      <c r="A233" s="258" t="s">
        <v>18</v>
      </c>
      <c r="B233">
        <v>1</v>
      </c>
    </row>
    <row r="234" spans="1:2">
      <c r="A234" s="257" t="s">
        <v>727</v>
      </c>
      <c r="B234">
        <v>1</v>
      </c>
    </row>
    <row r="235" spans="1:2">
      <c r="A235" s="258" t="s">
        <v>84</v>
      </c>
      <c r="B235">
        <v>1</v>
      </c>
    </row>
    <row r="236" spans="1:2">
      <c r="A236" s="257" t="s">
        <v>731</v>
      </c>
      <c r="B236">
        <v>1</v>
      </c>
    </row>
    <row r="237" spans="1:2">
      <c r="A237" s="258" t="s">
        <v>84</v>
      </c>
      <c r="B237">
        <v>1</v>
      </c>
    </row>
    <row r="238" spans="1:2">
      <c r="A238" s="122" t="s">
        <v>478</v>
      </c>
      <c r="B238">
        <v>3</v>
      </c>
    </row>
    <row r="239" spans="1:2">
      <c r="A239" s="257" t="s">
        <v>477</v>
      </c>
      <c r="B239">
        <v>1</v>
      </c>
    </row>
    <row r="240" spans="1:2">
      <c r="A240" s="258" t="s">
        <v>18</v>
      </c>
      <c r="B240">
        <v>1</v>
      </c>
    </row>
    <row r="241" spans="1:2">
      <c r="A241" s="257" t="s">
        <v>534</v>
      </c>
      <c r="B241">
        <v>1</v>
      </c>
    </row>
    <row r="242" spans="1:2">
      <c r="A242" s="258" t="s">
        <v>84</v>
      </c>
      <c r="B242">
        <v>1</v>
      </c>
    </row>
    <row r="243" spans="1:2">
      <c r="A243" s="257" t="s">
        <v>536</v>
      </c>
      <c r="B243">
        <v>1</v>
      </c>
    </row>
    <row r="244" spans="1:2">
      <c r="A244" s="258" t="s">
        <v>84</v>
      </c>
      <c r="B244">
        <v>1</v>
      </c>
    </row>
    <row r="245" spans="1:2">
      <c r="A245" s="122" t="s">
        <v>305</v>
      </c>
      <c r="B245">
        <v>2</v>
      </c>
    </row>
    <row r="246" spans="1:2">
      <c r="A246" s="257" t="s">
        <v>304</v>
      </c>
      <c r="B246">
        <v>1</v>
      </c>
    </row>
    <row r="247" spans="1:2">
      <c r="A247" s="258" t="s">
        <v>18</v>
      </c>
      <c r="B247">
        <v>1</v>
      </c>
    </row>
    <row r="248" spans="1:2">
      <c r="A248" s="257" t="s">
        <v>358</v>
      </c>
      <c r="B248">
        <v>1</v>
      </c>
    </row>
    <row r="249" spans="1:2">
      <c r="A249" s="258" t="s">
        <v>18</v>
      </c>
      <c r="B249">
        <v>1</v>
      </c>
    </row>
    <row r="250" spans="1:2">
      <c r="A250" s="122" t="s">
        <v>121</v>
      </c>
      <c r="B250">
        <v>1</v>
      </c>
    </row>
    <row r="251" spans="1:2">
      <c r="A251" s="257" t="s">
        <v>120</v>
      </c>
      <c r="B251">
        <v>1</v>
      </c>
    </row>
    <row r="252" spans="1:2">
      <c r="A252" s="258" t="s">
        <v>18</v>
      </c>
      <c r="B252">
        <v>1</v>
      </c>
    </row>
    <row r="253" spans="1:2">
      <c r="A253" s="122" t="s">
        <v>178</v>
      </c>
      <c r="B253">
        <v>1</v>
      </c>
    </row>
    <row r="254" spans="1:2">
      <c r="A254" s="257" t="s">
        <v>177</v>
      </c>
      <c r="B254">
        <v>1</v>
      </c>
    </row>
    <row r="255" spans="1:2">
      <c r="A255" s="258" t="s">
        <v>84</v>
      </c>
      <c r="B255">
        <v>1</v>
      </c>
    </row>
    <row r="256" spans="1:2">
      <c r="A256" s="122" t="s">
        <v>148</v>
      </c>
      <c r="B256">
        <v>15</v>
      </c>
    </row>
    <row r="257" spans="1:2">
      <c r="A257" s="257" t="s">
        <v>147</v>
      </c>
      <c r="B257">
        <v>1</v>
      </c>
    </row>
    <row r="258" spans="1:2">
      <c r="A258" s="258" t="s">
        <v>152</v>
      </c>
      <c r="B258">
        <v>1</v>
      </c>
    </row>
    <row r="259" spans="1:2">
      <c r="A259" s="257" t="s">
        <v>487</v>
      </c>
      <c r="B259">
        <v>1</v>
      </c>
    </row>
    <row r="260" spans="1:2">
      <c r="A260" s="258" t="s">
        <v>152</v>
      </c>
      <c r="B260">
        <v>1</v>
      </c>
    </row>
    <row r="261" spans="1:2">
      <c r="A261" s="257" t="s">
        <v>494</v>
      </c>
      <c r="B261">
        <v>1</v>
      </c>
    </row>
    <row r="262" spans="1:2">
      <c r="A262" s="258" t="s">
        <v>152</v>
      </c>
      <c r="B262">
        <v>1</v>
      </c>
    </row>
    <row r="263" spans="1:2">
      <c r="A263" s="257" t="s">
        <v>498</v>
      </c>
      <c r="B263">
        <v>1</v>
      </c>
    </row>
    <row r="264" spans="1:2">
      <c r="A264" s="258" t="s">
        <v>152</v>
      </c>
      <c r="B264">
        <v>1</v>
      </c>
    </row>
    <row r="265" spans="1:2">
      <c r="A265" s="257" t="s">
        <v>504</v>
      </c>
      <c r="B265">
        <v>1</v>
      </c>
    </row>
    <row r="266" spans="1:2">
      <c r="A266" s="258" t="s">
        <v>152</v>
      </c>
      <c r="B266">
        <v>1</v>
      </c>
    </row>
    <row r="267" spans="1:2">
      <c r="A267" s="257" t="s">
        <v>578</v>
      </c>
      <c r="B267">
        <v>1</v>
      </c>
    </row>
    <row r="268" spans="1:2">
      <c r="A268" s="258" t="s">
        <v>152</v>
      </c>
      <c r="B268">
        <v>1</v>
      </c>
    </row>
    <row r="269" spans="1:2">
      <c r="A269" s="257" t="s">
        <v>610</v>
      </c>
      <c r="B269">
        <v>1</v>
      </c>
    </row>
    <row r="270" spans="1:2">
      <c r="A270" s="258" t="s">
        <v>152</v>
      </c>
      <c r="B270">
        <v>1</v>
      </c>
    </row>
    <row r="271" spans="1:2">
      <c r="A271" s="257" t="s">
        <v>615</v>
      </c>
      <c r="B271">
        <v>1</v>
      </c>
    </row>
    <row r="272" spans="1:2">
      <c r="A272" s="258" t="s">
        <v>152</v>
      </c>
      <c r="B272">
        <v>1</v>
      </c>
    </row>
    <row r="273" spans="1:2">
      <c r="A273" s="257" t="s">
        <v>621</v>
      </c>
      <c r="B273">
        <v>1</v>
      </c>
    </row>
    <row r="274" spans="1:2">
      <c r="A274" s="258" t="s">
        <v>152</v>
      </c>
      <c r="B274">
        <v>1</v>
      </c>
    </row>
    <row r="275" spans="1:2">
      <c r="A275" s="257" t="s">
        <v>625</v>
      </c>
      <c r="B275">
        <v>1</v>
      </c>
    </row>
    <row r="276" spans="1:2">
      <c r="A276" s="258" t="s">
        <v>152</v>
      </c>
      <c r="B276">
        <v>1</v>
      </c>
    </row>
    <row r="277" spans="1:2">
      <c r="A277" s="257" t="s">
        <v>633</v>
      </c>
      <c r="B277">
        <v>1</v>
      </c>
    </row>
    <row r="278" spans="1:2">
      <c r="A278" s="258" t="s">
        <v>152</v>
      </c>
      <c r="B278">
        <v>1</v>
      </c>
    </row>
    <row r="279" spans="1:2">
      <c r="A279" s="257" t="s">
        <v>637</v>
      </c>
      <c r="B279">
        <v>1</v>
      </c>
    </row>
    <row r="280" spans="1:2">
      <c r="A280" s="258" t="s">
        <v>152</v>
      </c>
      <c r="B280">
        <v>1</v>
      </c>
    </row>
    <row r="281" spans="1:2">
      <c r="A281" s="257" t="s">
        <v>717</v>
      </c>
      <c r="B281">
        <v>1</v>
      </c>
    </row>
    <row r="282" spans="1:2">
      <c r="A282" s="258" t="s">
        <v>152</v>
      </c>
      <c r="B282">
        <v>1</v>
      </c>
    </row>
    <row r="283" spans="1:2">
      <c r="A283" s="257" t="s">
        <v>762</v>
      </c>
      <c r="B283">
        <v>1</v>
      </c>
    </row>
    <row r="284" spans="1:2">
      <c r="A284" s="258" t="s">
        <v>152</v>
      </c>
      <c r="B284">
        <v>1</v>
      </c>
    </row>
    <row r="285" spans="1:2">
      <c r="A285" s="257" t="s">
        <v>793</v>
      </c>
      <c r="B285">
        <v>1</v>
      </c>
    </row>
    <row r="286" spans="1:2">
      <c r="A286" s="258" t="s">
        <v>152</v>
      </c>
      <c r="B286">
        <v>1</v>
      </c>
    </row>
    <row r="287" spans="1:2">
      <c r="A287" s="122" t="s">
        <v>54</v>
      </c>
      <c r="B287">
        <v>1</v>
      </c>
    </row>
    <row r="288" spans="1:2">
      <c r="A288" s="257" t="s">
        <v>53</v>
      </c>
      <c r="B288">
        <v>1</v>
      </c>
    </row>
    <row r="289" spans="1:2">
      <c r="A289" s="258" t="s">
        <v>18</v>
      </c>
      <c r="B289">
        <v>1</v>
      </c>
    </row>
    <row r="290" spans="1:2">
      <c r="A290" s="122" t="s">
        <v>362</v>
      </c>
      <c r="B290">
        <v>1</v>
      </c>
    </row>
    <row r="291" spans="1:2">
      <c r="A291" s="257" t="s">
        <v>361</v>
      </c>
      <c r="B291">
        <v>1</v>
      </c>
    </row>
    <row r="292" spans="1:2">
      <c r="A292" s="258" t="s">
        <v>18</v>
      </c>
      <c r="B292">
        <v>1</v>
      </c>
    </row>
    <row r="293" spans="1:2">
      <c r="A293" s="122" t="s">
        <v>310</v>
      </c>
      <c r="B293">
        <v>1</v>
      </c>
    </row>
    <row r="294" spans="1:2">
      <c r="A294" s="257" t="s">
        <v>309</v>
      </c>
      <c r="B294">
        <v>1</v>
      </c>
    </row>
    <row r="295" spans="1:2">
      <c r="A295" s="258" t="s">
        <v>18</v>
      </c>
      <c r="B295">
        <v>1</v>
      </c>
    </row>
    <row r="296" spans="1:2">
      <c r="A296" s="122" t="s">
        <v>23</v>
      </c>
      <c r="B296">
        <v>1</v>
      </c>
    </row>
    <row r="297" spans="1:2">
      <c r="A297" s="257" t="s">
        <v>22</v>
      </c>
      <c r="B297">
        <v>1</v>
      </c>
    </row>
    <row r="298" spans="1:2">
      <c r="A298" s="258" t="s">
        <v>18</v>
      </c>
      <c r="B298">
        <v>1</v>
      </c>
    </row>
    <row r="299" spans="1:2">
      <c r="A299" s="122" t="s">
        <v>529</v>
      </c>
      <c r="B299">
        <v>2</v>
      </c>
    </row>
    <row r="300" spans="1:2">
      <c r="A300" s="257" t="s">
        <v>528</v>
      </c>
      <c r="B300">
        <v>1</v>
      </c>
    </row>
    <row r="301" spans="1:2">
      <c r="A301" s="258" t="s">
        <v>84</v>
      </c>
      <c r="B301">
        <v>1</v>
      </c>
    </row>
    <row r="302" spans="1:2">
      <c r="A302" s="257" t="s">
        <v>531</v>
      </c>
      <c r="B302">
        <v>1</v>
      </c>
    </row>
    <row r="303" spans="1:2">
      <c r="A303" s="258" t="s">
        <v>84</v>
      </c>
      <c r="B303">
        <v>1</v>
      </c>
    </row>
    <row r="304" spans="1:2">
      <c r="A304" s="122" t="s">
        <v>754</v>
      </c>
      <c r="B304">
        <v>3</v>
      </c>
    </row>
    <row r="305" spans="1:2">
      <c r="A305" s="257" t="s">
        <v>753</v>
      </c>
      <c r="B305">
        <v>1</v>
      </c>
    </row>
    <row r="306" spans="1:2">
      <c r="A306" s="258" t="s">
        <v>18</v>
      </c>
      <c r="B306">
        <v>1</v>
      </c>
    </row>
    <row r="307" spans="1:2">
      <c r="A307" s="257" t="s">
        <v>767</v>
      </c>
      <c r="B307">
        <v>1</v>
      </c>
    </row>
    <row r="308" spans="1:2">
      <c r="A308" s="258" t="s">
        <v>84</v>
      </c>
      <c r="B308">
        <v>1</v>
      </c>
    </row>
    <row r="309" spans="1:2">
      <c r="A309" s="257" t="s">
        <v>779</v>
      </c>
      <c r="B309">
        <v>1</v>
      </c>
    </row>
    <row r="310" spans="1:2">
      <c r="A310" s="258" t="s">
        <v>84</v>
      </c>
      <c r="B310">
        <v>1</v>
      </c>
    </row>
    <row r="311" spans="1:2">
      <c r="A311" s="122" t="s">
        <v>278</v>
      </c>
      <c r="B311">
        <v>3</v>
      </c>
    </row>
    <row r="312" spans="1:2">
      <c r="A312" s="257" t="s">
        <v>281</v>
      </c>
      <c r="B312">
        <v>1</v>
      </c>
    </row>
    <row r="313" spans="1:2">
      <c r="A313" s="258" t="s">
        <v>143</v>
      </c>
      <c r="B313">
        <v>1</v>
      </c>
    </row>
    <row r="314" spans="1:2">
      <c r="A314" s="257" t="s">
        <v>392</v>
      </c>
      <c r="B314">
        <v>1</v>
      </c>
    </row>
    <row r="315" spans="1:2">
      <c r="A315" s="258" t="s">
        <v>84</v>
      </c>
      <c r="B315">
        <v>1</v>
      </c>
    </row>
    <row r="316" spans="1:2">
      <c r="A316" s="257" t="s">
        <v>395</v>
      </c>
      <c r="B316">
        <v>1</v>
      </c>
    </row>
    <row r="317" spans="1:2">
      <c r="A317" s="258" t="s">
        <v>84</v>
      </c>
      <c r="B317">
        <v>1</v>
      </c>
    </row>
    <row r="318" spans="1:2">
      <c r="A318" s="122" t="s">
        <v>714</v>
      </c>
      <c r="B318">
        <v>1</v>
      </c>
    </row>
    <row r="319" spans="1:2">
      <c r="A319" s="257" t="s">
        <v>713</v>
      </c>
      <c r="B319">
        <v>1</v>
      </c>
    </row>
    <row r="320" spans="1:2">
      <c r="A320" s="258" t="s">
        <v>67</v>
      </c>
      <c r="B320">
        <v>1</v>
      </c>
    </row>
    <row r="321" spans="1:2">
      <c r="A321" s="122" t="s">
        <v>225</v>
      </c>
      <c r="B321">
        <v>1</v>
      </c>
    </row>
    <row r="322" spans="1:2">
      <c r="A322" s="257" t="s">
        <v>224</v>
      </c>
      <c r="B322">
        <v>1</v>
      </c>
    </row>
    <row r="323" spans="1:2">
      <c r="A323" s="258" t="s">
        <v>143</v>
      </c>
      <c r="B323">
        <v>1</v>
      </c>
    </row>
    <row r="324" spans="1:2">
      <c r="A324" s="122" t="s">
        <v>710</v>
      </c>
      <c r="B324">
        <v>1</v>
      </c>
    </row>
    <row r="325" spans="1:2">
      <c r="A325" s="257" t="s">
        <v>709</v>
      </c>
      <c r="B325">
        <v>1</v>
      </c>
    </row>
    <row r="326" spans="1:2">
      <c r="A326" s="258" t="s">
        <v>67</v>
      </c>
      <c r="B326">
        <v>1</v>
      </c>
    </row>
    <row r="327" spans="1:2">
      <c r="A327" s="122" t="s">
        <v>607</v>
      </c>
      <c r="B327">
        <v>1</v>
      </c>
    </row>
    <row r="328" spans="1:2">
      <c r="A328" s="257" t="s">
        <v>606</v>
      </c>
      <c r="B328">
        <v>1</v>
      </c>
    </row>
    <row r="329" spans="1:2">
      <c r="A329" s="258" t="s">
        <v>67</v>
      </c>
      <c r="B329">
        <v>1</v>
      </c>
    </row>
    <row r="330" spans="1:2">
      <c r="A330" s="122" t="s">
        <v>264</v>
      </c>
      <c r="B330">
        <v>1</v>
      </c>
    </row>
    <row r="331" spans="1:2">
      <c r="A331" s="257" t="s">
        <v>263</v>
      </c>
      <c r="B331">
        <v>1</v>
      </c>
    </row>
    <row r="332" spans="1:2">
      <c r="A332" s="258" t="s">
        <v>143</v>
      </c>
      <c r="B332">
        <v>1</v>
      </c>
    </row>
    <row r="333" spans="1:2">
      <c r="A333" s="122" t="s">
        <v>596</v>
      </c>
      <c r="B333">
        <v>3</v>
      </c>
    </row>
    <row r="334" spans="1:2">
      <c r="A334" s="257" t="s">
        <v>595</v>
      </c>
      <c r="B334">
        <v>1</v>
      </c>
    </row>
    <row r="335" spans="1:2">
      <c r="A335" s="258" t="s">
        <v>18</v>
      </c>
      <c r="B335">
        <v>1</v>
      </c>
    </row>
    <row r="336" spans="1:2">
      <c r="A336" s="257" t="s">
        <v>648</v>
      </c>
      <c r="B336">
        <v>1</v>
      </c>
    </row>
    <row r="337" spans="1:2">
      <c r="A337" s="258" t="s">
        <v>84</v>
      </c>
      <c r="B337">
        <v>1</v>
      </c>
    </row>
    <row r="338" spans="1:2">
      <c r="A338" s="257" t="s">
        <v>654</v>
      </c>
      <c r="B338">
        <v>1</v>
      </c>
    </row>
    <row r="339" spans="1:2">
      <c r="A339" s="258" t="s">
        <v>84</v>
      </c>
      <c r="B339">
        <v>1</v>
      </c>
    </row>
    <row r="340" spans="1:2">
      <c r="A340" s="122" t="s">
        <v>543</v>
      </c>
      <c r="B340">
        <v>10</v>
      </c>
    </row>
    <row r="341" spans="1:2">
      <c r="A341" s="257" t="s">
        <v>157</v>
      </c>
      <c r="B341">
        <v>1</v>
      </c>
    </row>
    <row r="342" spans="1:2">
      <c r="A342" s="258" t="s">
        <v>18</v>
      </c>
      <c r="B342">
        <v>1</v>
      </c>
    </row>
    <row r="343" spans="1:2">
      <c r="A343" s="257" t="s">
        <v>509</v>
      </c>
      <c r="B343">
        <v>1</v>
      </c>
    </row>
    <row r="344" spans="1:2">
      <c r="A344" s="258" t="s">
        <v>18</v>
      </c>
      <c r="B344">
        <v>1</v>
      </c>
    </row>
    <row r="345" spans="1:2">
      <c r="A345" s="257" t="s">
        <v>548</v>
      </c>
      <c r="B345">
        <v>1</v>
      </c>
    </row>
    <row r="346" spans="1:2">
      <c r="A346" s="258" t="s">
        <v>18</v>
      </c>
      <c r="B346">
        <v>1</v>
      </c>
    </row>
    <row r="347" spans="1:2">
      <c r="A347" s="257" t="s">
        <v>251</v>
      </c>
      <c r="B347">
        <v>1</v>
      </c>
    </row>
    <row r="348" spans="1:2">
      <c r="A348" s="258" t="s">
        <v>18</v>
      </c>
      <c r="B348">
        <v>1</v>
      </c>
    </row>
    <row r="349" spans="1:2">
      <c r="A349" s="257" t="s">
        <v>338</v>
      </c>
      <c r="B349">
        <v>1</v>
      </c>
    </row>
    <row r="350" spans="1:2">
      <c r="A350" s="258" t="s">
        <v>18</v>
      </c>
      <c r="B350">
        <v>1</v>
      </c>
    </row>
    <row r="351" spans="1:2">
      <c r="A351" s="257" t="s">
        <v>135</v>
      </c>
      <c r="B351">
        <v>1</v>
      </c>
    </row>
    <row r="352" spans="1:2">
      <c r="A352" s="258" t="s">
        <v>18</v>
      </c>
      <c r="B352">
        <v>1</v>
      </c>
    </row>
    <row r="353" spans="1:2">
      <c r="A353" s="257" t="s">
        <v>351</v>
      </c>
      <c r="B353">
        <v>1</v>
      </c>
    </row>
    <row r="354" spans="1:2">
      <c r="A354" s="258" t="s">
        <v>18</v>
      </c>
      <c r="B354">
        <v>1</v>
      </c>
    </row>
    <row r="355" spans="1:2">
      <c r="A355" s="257" t="s">
        <v>564</v>
      </c>
      <c r="B355">
        <v>1</v>
      </c>
    </row>
    <row r="356" spans="1:2">
      <c r="A356" s="258" t="s">
        <v>18</v>
      </c>
      <c r="B356">
        <v>1</v>
      </c>
    </row>
    <row r="357" spans="1:2">
      <c r="A357" s="257" t="s">
        <v>568</v>
      </c>
      <c r="B357">
        <v>1</v>
      </c>
    </row>
    <row r="358" spans="1:2">
      <c r="A358" s="258" t="s">
        <v>18</v>
      </c>
      <c r="B358">
        <v>1</v>
      </c>
    </row>
    <row r="359" spans="1:2">
      <c r="A359" s="257" t="s">
        <v>1396</v>
      </c>
      <c r="B359">
        <v>1</v>
      </c>
    </row>
    <row r="360" spans="1:2">
      <c r="A360" s="258" t="s">
        <v>18</v>
      </c>
      <c r="B360">
        <v>1</v>
      </c>
    </row>
    <row r="361" spans="1:2">
      <c r="A361" s="122" t="s">
        <v>555</v>
      </c>
      <c r="B361">
        <v>3</v>
      </c>
    </row>
    <row r="362" spans="1:2">
      <c r="A362" s="257" t="s">
        <v>554</v>
      </c>
      <c r="B362">
        <v>1</v>
      </c>
    </row>
    <row r="363" spans="1:2">
      <c r="A363" s="258" t="s">
        <v>18</v>
      </c>
      <c r="B363">
        <v>1</v>
      </c>
    </row>
    <row r="364" spans="1:2">
      <c r="A364" s="257" t="s">
        <v>586</v>
      </c>
      <c r="B364">
        <v>1</v>
      </c>
    </row>
    <row r="365" spans="1:2">
      <c r="A365" s="258" t="s">
        <v>84</v>
      </c>
      <c r="B365">
        <v>1</v>
      </c>
    </row>
    <row r="366" spans="1:2">
      <c r="A366" s="257" t="s">
        <v>589</v>
      </c>
      <c r="B366">
        <v>1</v>
      </c>
    </row>
    <row r="367" spans="1:2">
      <c r="A367" s="258" t="s">
        <v>84</v>
      </c>
      <c r="B367">
        <v>1</v>
      </c>
    </row>
    <row r="368" spans="1:2">
      <c r="A368" s="122" t="s">
        <v>573</v>
      </c>
      <c r="B368">
        <v>1</v>
      </c>
    </row>
    <row r="369" spans="1:2">
      <c r="A369" s="257" t="s">
        <v>572</v>
      </c>
      <c r="B369">
        <v>1</v>
      </c>
    </row>
    <row r="370" spans="1:2">
      <c r="A370" s="258" t="s">
        <v>575</v>
      </c>
      <c r="B370">
        <v>1</v>
      </c>
    </row>
    <row r="371" spans="1:2">
      <c r="A371" s="122" t="s">
        <v>665</v>
      </c>
      <c r="B371">
        <v>3</v>
      </c>
    </row>
    <row r="372" spans="1:2">
      <c r="A372" s="257" t="s">
        <v>664</v>
      </c>
      <c r="B372">
        <v>1</v>
      </c>
    </row>
    <row r="373" spans="1:2">
      <c r="A373" s="258" t="s">
        <v>18</v>
      </c>
      <c r="B373">
        <v>1</v>
      </c>
    </row>
    <row r="374" spans="1:2">
      <c r="A374" s="257" t="s">
        <v>690</v>
      </c>
      <c r="B374">
        <v>1</v>
      </c>
    </row>
    <row r="375" spans="1:2">
      <c r="A375" s="258" t="s">
        <v>84</v>
      </c>
      <c r="B375">
        <v>1</v>
      </c>
    </row>
    <row r="376" spans="1:2">
      <c r="A376" s="257" t="s">
        <v>695</v>
      </c>
      <c r="B376">
        <v>1</v>
      </c>
    </row>
    <row r="377" spans="1:2">
      <c r="A377" s="258" t="s">
        <v>84</v>
      </c>
      <c r="B377">
        <v>1</v>
      </c>
    </row>
    <row r="378" spans="1:2">
      <c r="A378" s="122" t="s">
        <v>582</v>
      </c>
      <c r="B378">
        <v>4</v>
      </c>
    </row>
    <row r="379" spans="1:2">
      <c r="A379" s="257" t="s">
        <v>581</v>
      </c>
      <c r="B379">
        <v>1</v>
      </c>
    </row>
    <row r="380" spans="1:2">
      <c r="A380" s="258" t="s">
        <v>18</v>
      </c>
      <c r="B380">
        <v>1</v>
      </c>
    </row>
    <row r="381" spans="1:2">
      <c r="A381" s="257" t="s">
        <v>601</v>
      </c>
      <c r="B381">
        <v>1</v>
      </c>
    </row>
    <row r="382" spans="1:2">
      <c r="A382" s="258" t="s">
        <v>67</v>
      </c>
      <c r="B382">
        <v>1</v>
      </c>
    </row>
    <row r="383" spans="1:2">
      <c r="A383" s="257" t="s">
        <v>656</v>
      </c>
      <c r="B383">
        <v>1</v>
      </c>
    </row>
    <row r="384" spans="1:2">
      <c r="A384" s="258" t="s">
        <v>84</v>
      </c>
      <c r="B384">
        <v>1</v>
      </c>
    </row>
    <row r="385" spans="1:2">
      <c r="A385" s="257" t="s">
        <v>658</v>
      </c>
      <c r="B385">
        <v>1</v>
      </c>
    </row>
    <row r="386" spans="1:2">
      <c r="A386" s="258" t="s">
        <v>84</v>
      </c>
      <c r="B386">
        <v>1</v>
      </c>
    </row>
    <row r="387" spans="1:2">
      <c r="A387" s="122" t="s">
        <v>233</v>
      </c>
      <c r="B387">
        <v>2</v>
      </c>
    </row>
    <row r="388" spans="1:2">
      <c r="A388" s="257" t="s">
        <v>232</v>
      </c>
      <c r="B388">
        <v>1</v>
      </c>
    </row>
    <row r="389" spans="1:2">
      <c r="A389" s="258" t="s">
        <v>84</v>
      </c>
      <c r="B389">
        <v>1</v>
      </c>
    </row>
    <row r="390" spans="1:2">
      <c r="A390" s="257" t="s">
        <v>236</v>
      </c>
      <c r="B390">
        <v>1</v>
      </c>
    </row>
    <row r="391" spans="1:2">
      <c r="A391" s="258" t="s">
        <v>84</v>
      </c>
      <c r="B391">
        <v>1</v>
      </c>
    </row>
    <row r="392" spans="1:2">
      <c r="A392" s="122" t="s">
        <v>210</v>
      </c>
      <c r="B392">
        <v>1</v>
      </c>
    </row>
    <row r="393" spans="1:2">
      <c r="A393" s="257" t="s">
        <v>209</v>
      </c>
      <c r="B393">
        <v>1</v>
      </c>
    </row>
    <row r="394" spans="1:2">
      <c r="A394" s="258" t="s">
        <v>18</v>
      </c>
      <c r="B394">
        <v>1</v>
      </c>
    </row>
    <row r="395" spans="1:2">
      <c r="A395" s="122" t="s">
        <v>809</v>
      </c>
      <c r="B395">
        <v>1</v>
      </c>
    </row>
    <row r="396" spans="1:2">
      <c r="A396" s="257" t="s">
        <v>808</v>
      </c>
      <c r="B396">
        <v>1</v>
      </c>
    </row>
    <row r="397" spans="1:2">
      <c r="A397" s="258" t="s">
        <v>84</v>
      </c>
      <c r="B397">
        <v>1</v>
      </c>
    </row>
    <row r="398" spans="1:2">
      <c r="A398" s="122" t="s">
        <v>538</v>
      </c>
      <c r="B398">
        <v>1</v>
      </c>
    </row>
    <row r="399" spans="1:2">
      <c r="A399" s="257" t="s">
        <v>537</v>
      </c>
      <c r="B399">
        <v>1</v>
      </c>
    </row>
    <row r="400" spans="1:2">
      <c r="A400" s="258" t="s">
        <v>84</v>
      </c>
      <c r="B400">
        <v>1</v>
      </c>
    </row>
    <row r="401" spans="1:2">
      <c r="A401" s="122" t="s">
        <v>463</v>
      </c>
      <c r="B401">
        <v>1</v>
      </c>
    </row>
    <row r="402" spans="1:2">
      <c r="A402" s="257" t="s">
        <v>462</v>
      </c>
      <c r="B402">
        <v>1</v>
      </c>
    </row>
    <row r="403" spans="1:2">
      <c r="A403" s="258" t="s">
        <v>18</v>
      </c>
      <c r="B403">
        <v>1</v>
      </c>
    </row>
    <row r="404" spans="1:2">
      <c r="A404" s="122" t="s">
        <v>642</v>
      </c>
      <c r="B404">
        <v>4</v>
      </c>
    </row>
    <row r="405" spans="1:2">
      <c r="A405" s="257" t="s">
        <v>641</v>
      </c>
      <c r="B405">
        <v>1</v>
      </c>
    </row>
    <row r="406" spans="1:2">
      <c r="A406" s="258" t="s">
        <v>18</v>
      </c>
      <c r="B406">
        <v>1</v>
      </c>
    </row>
    <row r="407" spans="1:2">
      <c r="A407" s="257" t="s">
        <v>670</v>
      </c>
      <c r="B407">
        <v>1</v>
      </c>
    </row>
    <row r="408" spans="1:2">
      <c r="A408" s="258" t="s">
        <v>67</v>
      </c>
      <c r="B408">
        <v>1</v>
      </c>
    </row>
    <row r="409" spans="1:2">
      <c r="A409" s="257" t="s">
        <v>682</v>
      </c>
      <c r="B409">
        <v>1</v>
      </c>
    </row>
    <row r="410" spans="1:2">
      <c r="A410" s="258" t="s">
        <v>84</v>
      </c>
      <c r="B410">
        <v>1</v>
      </c>
    </row>
    <row r="411" spans="1:2">
      <c r="A411" s="257" t="s">
        <v>693</v>
      </c>
      <c r="B411">
        <v>1</v>
      </c>
    </row>
    <row r="412" spans="1:2">
      <c r="A412" s="258" t="s">
        <v>84</v>
      </c>
      <c r="B412">
        <v>1</v>
      </c>
    </row>
    <row r="413" spans="1:2">
      <c r="A413" s="122" t="s">
        <v>96</v>
      </c>
      <c r="B413">
        <v>3</v>
      </c>
    </row>
    <row r="414" spans="1:2">
      <c r="A414" s="257" t="s">
        <v>95</v>
      </c>
      <c r="B414">
        <v>1</v>
      </c>
    </row>
    <row r="415" spans="1:2">
      <c r="A415" s="258" t="s">
        <v>18</v>
      </c>
      <c r="B415">
        <v>1</v>
      </c>
    </row>
    <row r="416" spans="1:2">
      <c r="A416" s="257" t="s">
        <v>195</v>
      </c>
      <c r="B416">
        <v>1</v>
      </c>
    </row>
    <row r="417" spans="1:2">
      <c r="A417" s="258" t="s">
        <v>84</v>
      </c>
      <c r="B417">
        <v>1</v>
      </c>
    </row>
    <row r="418" spans="1:2">
      <c r="A418" s="257" t="s">
        <v>828</v>
      </c>
      <c r="B418">
        <v>1</v>
      </c>
    </row>
    <row r="419" spans="1:2">
      <c r="A419" s="258" t="s">
        <v>84</v>
      </c>
      <c r="B419">
        <v>1</v>
      </c>
    </row>
    <row r="420" spans="1:2">
      <c r="A420" s="122" t="s">
        <v>591</v>
      </c>
      <c r="B420">
        <v>4</v>
      </c>
    </row>
    <row r="421" spans="1:2">
      <c r="A421" s="257" t="s">
        <v>590</v>
      </c>
      <c r="B421">
        <v>1</v>
      </c>
    </row>
    <row r="422" spans="1:2">
      <c r="A422" s="258" t="s">
        <v>18</v>
      </c>
      <c r="B422">
        <v>1</v>
      </c>
    </row>
    <row r="423" spans="1:2">
      <c r="A423" s="257" t="s">
        <v>604</v>
      </c>
      <c r="B423">
        <v>1</v>
      </c>
    </row>
    <row r="424" spans="1:2">
      <c r="A424" s="258" t="s">
        <v>67</v>
      </c>
      <c r="B424">
        <v>1</v>
      </c>
    </row>
    <row r="425" spans="1:2">
      <c r="A425" s="257" t="s">
        <v>86</v>
      </c>
      <c r="B425">
        <v>1</v>
      </c>
    </row>
    <row r="426" spans="1:2">
      <c r="A426" s="258" t="s">
        <v>84</v>
      </c>
      <c r="B426">
        <v>1</v>
      </c>
    </row>
    <row r="427" spans="1:2">
      <c r="A427" s="257" t="s">
        <v>652</v>
      </c>
      <c r="B427">
        <v>1</v>
      </c>
    </row>
    <row r="428" spans="1:2">
      <c r="A428" s="258" t="s">
        <v>84</v>
      </c>
      <c r="B428">
        <v>1</v>
      </c>
    </row>
    <row r="429" spans="1:2">
      <c r="A429" s="122" t="s">
        <v>818</v>
      </c>
      <c r="B429">
        <v>2</v>
      </c>
    </row>
    <row r="430" spans="1:2">
      <c r="A430" s="257" t="s">
        <v>817</v>
      </c>
      <c r="B430">
        <v>1</v>
      </c>
    </row>
    <row r="431" spans="1:2">
      <c r="A431" s="258" t="s">
        <v>84</v>
      </c>
      <c r="B431">
        <v>1</v>
      </c>
    </row>
    <row r="432" spans="1:2">
      <c r="A432" s="257" t="s">
        <v>823</v>
      </c>
      <c r="B432">
        <v>1</v>
      </c>
    </row>
    <row r="433" spans="1:2">
      <c r="A433" s="258" t="s">
        <v>84</v>
      </c>
      <c r="B433">
        <v>1</v>
      </c>
    </row>
    <row r="434" spans="1:2">
      <c r="A434" s="122" t="s">
        <v>70</v>
      </c>
      <c r="B434">
        <v>1</v>
      </c>
    </row>
    <row r="435" spans="1:2">
      <c r="A435" s="257" t="s">
        <v>69</v>
      </c>
      <c r="B435">
        <v>1</v>
      </c>
    </row>
    <row r="436" spans="1:2">
      <c r="A436" s="258" t="s">
        <v>67</v>
      </c>
      <c r="B436">
        <v>1</v>
      </c>
    </row>
    <row r="437" spans="1:2">
      <c r="A437" s="122" t="s">
        <v>1367</v>
      </c>
      <c r="B437">
        <v>1</v>
      </c>
    </row>
    <row r="438" spans="1:2">
      <c r="A438" s="257" t="s">
        <v>140</v>
      </c>
      <c r="B438">
        <v>1</v>
      </c>
    </row>
    <row r="439" spans="1:2">
      <c r="A439" s="258" t="s">
        <v>143</v>
      </c>
      <c r="B439">
        <v>1</v>
      </c>
    </row>
    <row r="440" spans="1:2">
      <c r="A440" s="122" t="s">
        <v>347</v>
      </c>
      <c r="B440">
        <v>1</v>
      </c>
    </row>
    <row r="441" spans="1:2">
      <c r="A441" s="257" t="s">
        <v>346</v>
      </c>
      <c r="B441">
        <v>1</v>
      </c>
    </row>
    <row r="442" spans="1:2">
      <c r="A442" s="258" t="s">
        <v>18</v>
      </c>
      <c r="B442">
        <v>1</v>
      </c>
    </row>
    <row r="443" spans="1:2">
      <c r="A443" s="122" t="s">
        <v>450</v>
      </c>
      <c r="B443">
        <v>1</v>
      </c>
    </row>
    <row r="444" spans="1:2">
      <c r="A444" s="257" t="s">
        <v>449</v>
      </c>
      <c r="B444">
        <v>1</v>
      </c>
    </row>
    <row r="445" spans="1:2">
      <c r="A445" s="258" t="s">
        <v>18</v>
      </c>
      <c r="B445">
        <v>1</v>
      </c>
    </row>
    <row r="446" spans="1:2">
      <c r="A446" s="122" t="s">
        <v>407</v>
      </c>
      <c r="B446">
        <v>3</v>
      </c>
    </row>
    <row r="447" spans="1:2">
      <c r="A447" s="257" t="s">
        <v>406</v>
      </c>
      <c r="B447">
        <v>1</v>
      </c>
    </row>
    <row r="448" spans="1:2">
      <c r="A448" s="258" t="s">
        <v>18</v>
      </c>
      <c r="B448">
        <v>1</v>
      </c>
    </row>
    <row r="449" spans="1:2">
      <c r="A449" s="257" t="s">
        <v>443</v>
      </c>
      <c r="B449">
        <v>1</v>
      </c>
    </row>
    <row r="450" spans="1:2">
      <c r="A450" s="258" t="s">
        <v>84</v>
      </c>
      <c r="B450">
        <v>1</v>
      </c>
    </row>
    <row r="451" spans="1:2">
      <c r="A451" s="257" t="s">
        <v>446</v>
      </c>
      <c r="B451">
        <v>1</v>
      </c>
    </row>
    <row r="452" spans="1:2">
      <c r="A452" s="258" t="s">
        <v>84</v>
      </c>
      <c r="B452">
        <v>1</v>
      </c>
    </row>
    <row r="453" spans="1:2">
      <c r="A453" s="122" t="s">
        <v>37</v>
      </c>
      <c r="B453">
        <v>1</v>
      </c>
    </row>
    <row r="454" spans="1:2">
      <c r="A454" s="257" t="s">
        <v>36</v>
      </c>
      <c r="B454">
        <v>1</v>
      </c>
    </row>
    <row r="455" spans="1:2">
      <c r="A455" s="258" t="s">
        <v>18</v>
      </c>
      <c r="B455">
        <v>1</v>
      </c>
    </row>
    <row r="456" spans="1:2">
      <c r="A456" s="122" t="s">
        <v>93</v>
      </c>
      <c r="B456">
        <v>1</v>
      </c>
    </row>
    <row r="457" spans="1:2">
      <c r="A457" s="257" t="s">
        <v>92</v>
      </c>
      <c r="B457">
        <v>1</v>
      </c>
    </row>
    <row r="458" spans="1:2">
      <c r="A458" s="258" t="s">
        <v>84</v>
      </c>
      <c r="B458">
        <v>1</v>
      </c>
    </row>
    <row r="459" spans="1:2">
      <c r="A459" s="122" t="s">
        <v>401</v>
      </c>
      <c r="B459">
        <v>4</v>
      </c>
    </row>
    <row r="460" spans="1:2">
      <c r="A460" s="257" t="s">
        <v>400</v>
      </c>
      <c r="B460">
        <v>1</v>
      </c>
    </row>
    <row r="461" spans="1:2">
      <c r="A461" s="258" t="s">
        <v>18</v>
      </c>
      <c r="B461">
        <v>1</v>
      </c>
    </row>
    <row r="462" spans="1:2">
      <c r="A462" s="257" t="s">
        <v>416</v>
      </c>
      <c r="B462">
        <v>1</v>
      </c>
    </row>
    <row r="463" spans="1:2">
      <c r="A463" s="258" t="s">
        <v>67</v>
      </c>
      <c r="B463">
        <v>1</v>
      </c>
    </row>
    <row r="464" spans="1:2">
      <c r="A464" s="257" t="s">
        <v>431</v>
      </c>
      <c r="B464">
        <v>1</v>
      </c>
    </row>
    <row r="465" spans="1:2">
      <c r="A465" s="258" t="s">
        <v>84</v>
      </c>
      <c r="B465">
        <v>1</v>
      </c>
    </row>
    <row r="466" spans="1:2">
      <c r="A466" s="257" t="s">
        <v>433</v>
      </c>
      <c r="B466">
        <v>1</v>
      </c>
    </row>
    <row r="467" spans="1:2">
      <c r="A467" s="258" t="s">
        <v>84</v>
      </c>
      <c r="B467">
        <v>1</v>
      </c>
    </row>
    <row r="468" spans="1:2">
      <c r="A468" s="122" t="s">
        <v>815</v>
      </c>
      <c r="B468">
        <v>2</v>
      </c>
    </row>
    <row r="469" spans="1:2">
      <c r="A469" s="257" t="s">
        <v>814</v>
      </c>
      <c r="B469">
        <v>1</v>
      </c>
    </row>
    <row r="470" spans="1:2">
      <c r="A470" s="258" t="s">
        <v>84</v>
      </c>
      <c r="B470">
        <v>1</v>
      </c>
    </row>
    <row r="471" spans="1:2">
      <c r="A471" s="257" t="s">
        <v>821</v>
      </c>
      <c r="B471">
        <v>1</v>
      </c>
    </row>
    <row r="472" spans="1:2">
      <c r="A472" s="258" t="s">
        <v>84</v>
      </c>
      <c r="B472">
        <v>1</v>
      </c>
    </row>
    <row r="473" spans="1:2">
      <c r="A473" s="122" t="s">
        <v>1393</v>
      </c>
      <c r="B473">
        <v>12</v>
      </c>
    </row>
    <row r="474" spans="1:2">
      <c r="A474" s="257" t="s">
        <v>66</v>
      </c>
      <c r="B474">
        <v>1</v>
      </c>
    </row>
    <row r="475" spans="1:2">
      <c r="A475" s="258" t="s">
        <v>67</v>
      </c>
      <c r="B475">
        <v>1</v>
      </c>
    </row>
    <row r="476" spans="1:2">
      <c r="A476" s="257" t="s">
        <v>798</v>
      </c>
      <c r="B476">
        <v>1</v>
      </c>
    </row>
    <row r="477" spans="1:2">
      <c r="A477" s="258" t="s">
        <v>84</v>
      </c>
      <c r="B477">
        <v>1</v>
      </c>
    </row>
    <row r="478" spans="1:2">
      <c r="A478" s="257" t="s">
        <v>800</v>
      </c>
      <c r="B478">
        <v>1</v>
      </c>
    </row>
    <row r="479" spans="1:2">
      <c r="A479" s="258" t="s">
        <v>84</v>
      </c>
      <c r="B479">
        <v>1</v>
      </c>
    </row>
    <row r="480" spans="1:2">
      <c r="A480" s="257" t="s">
        <v>803</v>
      </c>
      <c r="B480">
        <v>1</v>
      </c>
    </row>
    <row r="481" spans="1:2">
      <c r="A481" s="258" t="s">
        <v>84</v>
      </c>
      <c r="B481">
        <v>1</v>
      </c>
    </row>
    <row r="482" spans="1:2">
      <c r="A482" s="257" t="s">
        <v>82</v>
      </c>
      <c r="B482">
        <v>1</v>
      </c>
    </row>
    <row r="483" spans="1:2">
      <c r="A483" s="258" t="s">
        <v>84</v>
      </c>
      <c r="B483">
        <v>1</v>
      </c>
    </row>
    <row r="484" spans="1:2">
      <c r="A484" s="257" t="s">
        <v>806</v>
      </c>
      <c r="B484">
        <v>1</v>
      </c>
    </row>
    <row r="485" spans="1:2">
      <c r="A485" s="258" t="s">
        <v>84</v>
      </c>
      <c r="B485">
        <v>1</v>
      </c>
    </row>
    <row r="486" spans="1:2">
      <c r="A486" s="257" t="s">
        <v>825</v>
      </c>
      <c r="B486">
        <v>1</v>
      </c>
    </row>
    <row r="487" spans="1:2">
      <c r="A487" s="258" t="s">
        <v>84</v>
      </c>
      <c r="B487">
        <v>1</v>
      </c>
    </row>
    <row r="488" spans="1:2">
      <c r="A488" s="257" t="s">
        <v>836</v>
      </c>
      <c r="B488">
        <v>1</v>
      </c>
    </row>
    <row r="489" spans="1:2">
      <c r="A489" s="258" t="s">
        <v>84</v>
      </c>
      <c r="B489">
        <v>1</v>
      </c>
    </row>
    <row r="490" spans="1:2">
      <c r="A490" s="257" t="s">
        <v>839</v>
      </c>
      <c r="B490">
        <v>1</v>
      </c>
    </row>
    <row r="491" spans="1:2">
      <c r="A491" s="258" t="s">
        <v>84</v>
      </c>
      <c r="B491">
        <v>1</v>
      </c>
    </row>
    <row r="492" spans="1:2">
      <c r="A492" s="257" t="s">
        <v>846</v>
      </c>
      <c r="B492">
        <v>1</v>
      </c>
    </row>
    <row r="493" spans="1:2">
      <c r="A493" s="258" t="s">
        <v>84</v>
      </c>
      <c r="B493">
        <v>1</v>
      </c>
    </row>
    <row r="494" spans="1:2">
      <c r="A494" s="257" t="s">
        <v>396</v>
      </c>
      <c r="B494">
        <v>1</v>
      </c>
    </row>
    <row r="495" spans="1:2">
      <c r="A495" s="258" t="s">
        <v>84</v>
      </c>
      <c r="B495">
        <v>1</v>
      </c>
    </row>
    <row r="496" spans="1:2">
      <c r="A496" s="257" t="s">
        <v>399</v>
      </c>
      <c r="B496">
        <v>1</v>
      </c>
    </row>
    <row r="497" spans="1:2">
      <c r="A497" s="258" t="s">
        <v>84</v>
      </c>
      <c r="B497">
        <v>1</v>
      </c>
    </row>
    <row r="498" spans="1:2">
      <c r="A498" s="257" t="s">
        <v>1393</v>
      </c>
    </row>
    <row r="499" spans="1:2">
      <c r="A499" s="258" t="s">
        <v>1393</v>
      </c>
    </row>
    <row r="500" spans="1:2">
      <c r="A500" s="122" t="s">
        <v>1377</v>
      </c>
      <c r="B500">
        <v>3</v>
      </c>
    </row>
    <row r="501" spans="1:2">
      <c r="A501" s="257" t="s">
        <v>127</v>
      </c>
      <c r="B501">
        <v>1</v>
      </c>
    </row>
    <row r="502" spans="1:2">
      <c r="A502" s="258" t="s">
        <v>18</v>
      </c>
      <c r="B502">
        <v>1</v>
      </c>
    </row>
    <row r="503" spans="1:2">
      <c r="A503" s="257" t="s">
        <v>191</v>
      </c>
      <c r="B503">
        <v>1</v>
      </c>
    </row>
    <row r="504" spans="1:2">
      <c r="A504" s="258" t="s">
        <v>84</v>
      </c>
      <c r="B504">
        <v>1</v>
      </c>
    </row>
    <row r="505" spans="1:2">
      <c r="A505" s="257" t="s">
        <v>193</v>
      </c>
      <c r="B505">
        <v>1</v>
      </c>
    </row>
    <row r="506" spans="1:2">
      <c r="A506" s="258" t="s">
        <v>84</v>
      </c>
      <c r="B506">
        <v>1</v>
      </c>
    </row>
    <row r="507" spans="1:2">
      <c r="A507" s="122" t="s">
        <v>1391</v>
      </c>
      <c r="B507">
        <v>1</v>
      </c>
    </row>
    <row r="508" spans="1:2">
      <c r="A508" s="257" t="s">
        <v>559</v>
      </c>
      <c r="B508">
        <v>1</v>
      </c>
    </row>
    <row r="509" spans="1:2">
      <c r="A509" s="258" t="s">
        <v>18</v>
      </c>
      <c r="B509">
        <v>1</v>
      </c>
    </row>
    <row r="510" spans="1:2">
      <c r="A510" s="122" t="s">
        <v>1</v>
      </c>
      <c r="B510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F74B-7F13-40C7-A987-A0535735DB72}">
  <sheetPr codeName="Sheet2">
    <pageSetUpPr fitToPage="1"/>
  </sheetPr>
  <dimension ref="A1:N238"/>
  <sheetViews>
    <sheetView topLeftCell="A75" zoomScale="115" zoomScaleNormal="115" workbookViewId="0">
      <selection activeCell="C196" sqref="C196"/>
    </sheetView>
  </sheetViews>
  <sheetFormatPr defaultColWidth="8" defaultRowHeight="15" customHeight="1"/>
  <cols>
    <col min="1" max="1" width="21" style="125" customWidth="1"/>
    <col min="2" max="2" width="34.7109375" style="125" bestFit="1" customWidth="1"/>
    <col min="3" max="3" width="30.42578125" style="125" bestFit="1" customWidth="1"/>
    <col min="4" max="4" width="45" style="125" customWidth="1"/>
    <col min="5" max="5" width="21" style="148" customWidth="1"/>
    <col min="6" max="14" width="21" style="125" customWidth="1"/>
    <col min="15" max="16384" width="8" style="125"/>
  </cols>
  <sheetData>
    <row r="1" spans="1:14" ht="15" customHeight="1">
      <c r="A1" s="333" t="s">
        <v>2</v>
      </c>
      <c r="B1" s="123" t="s">
        <v>3</v>
      </c>
      <c r="C1" s="335" t="s">
        <v>4</v>
      </c>
      <c r="D1" s="123" t="s">
        <v>0</v>
      </c>
      <c r="E1" s="124" t="s">
        <v>1395</v>
      </c>
      <c r="F1" s="123" t="s">
        <v>5</v>
      </c>
      <c r="G1" s="123" t="s">
        <v>6</v>
      </c>
      <c r="H1" s="123" t="s">
        <v>7</v>
      </c>
      <c r="I1" s="123" t="s">
        <v>1371</v>
      </c>
      <c r="J1" s="123" t="s">
        <v>8</v>
      </c>
      <c r="K1" s="123" t="s">
        <v>9</v>
      </c>
      <c r="L1" s="123" t="s">
        <v>10</v>
      </c>
      <c r="M1" s="123" t="s">
        <v>11</v>
      </c>
      <c r="N1" s="123" t="s">
        <v>12</v>
      </c>
    </row>
    <row r="2" spans="1:14" s="127" customFormat="1" ht="15" hidden="1" customHeight="1">
      <c r="A2" s="126" t="s">
        <v>798</v>
      </c>
      <c r="B2" s="171"/>
      <c r="C2" s="126" t="s">
        <v>783</v>
      </c>
      <c r="D2" s="173"/>
      <c r="E2" s="182">
        <v>1000000050</v>
      </c>
      <c r="F2" s="126"/>
      <c r="G2" s="183" t="s">
        <v>84</v>
      </c>
      <c r="H2" s="237" t="s">
        <v>799</v>
      </c>
      <c r="I2" s="183"/>
      <c r="J2" s="183"/>
      <c r="K2" s="183"/>
      <c r="L2" s="183"/>
      <c r="M2" s="183"/>
      <c r="N2" s="183"/>
    </row>
    <row r="3" spans="1:14" s="127" customFormat="1" ht="15" hidden="1" customHeight="1">
      <c r="A3" s="125" t="s">
        <v>621</v>
      </c>
      <c r="B3" s="125" t="s">
        <v>148</v>
      </c>
      <c r="C3" s="125" t="s">
        <v>592</v>
      </c>
      <c r="D3" s="128" t="s">
        <v>150</v>
      </c>
      <c r="E3" s="129">
        <v>1000000053</v>
      </c>
      <c r="F3" s="125" t="s">
        <v>592</v>
      </c>
      <c r="G3" s="125" t="s">
        <v>152</v>
      </c>
      <c r="H3" s="125" t="s">
        <v>622</v>
      </c>
      <c r="I3" s="154" t="s">
        <v>623</v>
      </c>
      <c r="J3" s="129"/>
      <c r="K3" s="129"/>
      <c r="L3" s="130"/>
      <c r="M3" s="125" t="s">
        <v>624</v>
      </c>
      <c r="N3" s="125"/>
    </row>
    <row r="4" spans="1:14" s="131" customFormat="1" ht="15" hidden="1" customHeight="1">
      <c r="A4" s="125" t="s">
        <v>800</v>
      </c>
      <c r="B4" s="142"/>
      <c r="C4" s="125" t="s">
        <v>801</v>
      </c>
      <c r="D4" s="143"/>
      <c r="E4" s="181">
        <v>1000000074</v>
      </c>
      <c r="F4" s="125"/>
      <c r="G4" s="145" t="s">
        <v>84</v>
      </c>
      <c r="H4" s="146" t="s">
        <v>802</v>
      </c>
      <c r="I4" s="145"/>
      <c r="J4" s="145"/>
      <c r="K4" s="145"/>
      <c r="L4" s="145"/>
      <c r="M4" s="145"/>
      <c r="N4" s="145"/>
    </row>
    <row r="5" spans="1:14" s="127" customFormat="1" ht="15" hidden="1" customHeight="1">
      <c r="A5" s="125" t="s">
        <v>803</v>
      </c>
      <c r="B5" s="142"/>
      <c r="C5" s="125" t="s">
        <v>804</v>
      </c>
      <c r="D5" s="143"/>
      <c r="E5" s="144">
        <v>1000000075</v>
      </c>
      <c r="F5" s="125"/>
      <c r="G5" s="145" t="s">
        <v>84</v>
      </c>
      <c r="H5" s="146" t="s">
        <v>805</v>
      </c>
      <c r="I5" s="145"/>
      <c r="J5" s="145"/>
      <c r="K5" s="145"/>
      <c r="L5" s="145"/>
      <c r="M5" s="145"/>
      <c r="N5" s="145"/>
    </row>
    <row r="6" spans="1:14" s="127" customFormat="1" ht="15" hidden="1" customHeight="1">
      <c r="A6" s="125" t="s">
        <v>82</v>
      </c>
      <c r="B6" s="142"/>
      <c r="C6" s="125" t="s">
        <v>83</v>
      </c>
      <c r="D6" s="143" t="s">
        <v>16</v>
      </c>
      <c r="E6" s="144">
        <v>1000000076</v>
      </c>
      <c r="F6" s="125"/>
      <c r="G6" s="145" t="s">
        <v>84</v>
      </c>
      <c r="H6" s="146" t="s">
        <v>85</v>
      </c>
      <c r="I6" s="145"/>
      <c r="J6" s="145"/>
      <c r="K6" s="145"/>
      <c r="L6" s="145"/>
      <c r="M6" s="145"/>
      <c r="N6" s="145"/>
    </row>
    <row r="7" spans="1:14" s="131" customFormat="1" ht="15" hidden="1" customHeight="1">
      <c r="A7" s="125" t="s">
        <v>528</v>
      </c>
      <c r="B7" s="125" t="s">
        <v>529</v>
      </c>
      <c r="C7" s="125" t="s">
        <v>529</v>
      </c>
      <c r="D7" s="143" t="s">
        <v>427</v>
      </c>
      <c r="E7" s="165">
        <v>1000000080</v>
      </c>
      <c r="F7" s="125"/>
      <c r="G7" s="145" t="s">
        <v>84</v>
      </c>
      <c r="H7" s="154" t="s">
        <v>530</v>
      </c>
      <c r="I7" s="145"/>
      <c r="J7" s="145"/>
      <c r="K7" s="145"/>
      <c r="L7" s="145"/>
      <c r="M7" s="145"/>
      <c r="N7" s="145"/>
    </row>
    <row r="8" spans="1:14" s="127" customFormat="1" ht="15" hidden="1" customHeight="1">
      <c r="A8" s="137" t="s">
        <v>578</v>
      </c>
      <c r="B8" s="125" t="s">
        <v>148</v>
      </c>
      <c r="C8" s="137" t="s">
        <v>505</v>
      </c>
      <c r="D8" s="128" t="s">
        <v>78</v>
      </c>
      <c r="E8" s="255" t="s">
        <v>579</v>
      </c>
      <c r="F8" s="137" t="s">
        <v>580</v>
      </c>
      <c r="G8" s="138" t="s">
        <v>152</v>
      </c>
      <c r="H8" s="137" t="s">
        <v>508</v>
      </c>
      <c r="I8" s="125"/>
      <c r="J8" s="137" t="s">
        <v>501</v>
      </c>
      <c r="K8" s="137"/>
      <c r="L8" s="125"/>
      <c r="M8" s="125"/>
      <c r="N8" s="125"/>
    </row>
    <row r="9" spans="1:14" s="127" customFormat="1" ht="15" hidden="1" customHeight="1">
      <c r="A9" s="125" t="s">
        <v>633</v>
      </c>
      <c r="B9" s="125" t="s">
        <v>148</v>
      </c>
      <c r="C9" s="125" t="s">
        <v>634</v>
      </c>
      <c r="D9" s="128" t="s">
        <v>150</v>
      </c>
      <c r="E9" s="159">
        <v>1000000083</v>
      </c>
      <c r="F9" s="125"/>
      <c r="G9" s="125" t="s">
        <v>152</v>
      </c>
      <c r="H9" s="125" t="s">
        <v>617</v>
      </c>
      <c r="I9" s="125" t="s">
        <v>635</v>
      </c>
      <c r="J9" s="129" t="s">
        <v>636</v>
      </c>
      <c r="K9" s="129"/>
      <c r="L9" s="130">
        <v>43635</v>
      </c>
      <c r="N9" s="125" t="s">
        <v>632</v>
      </c>
    </row>
    <row r="10" spans="1:14" s="127" customFormat="1" ht="15" hidden="1" customHeight="1">
      <c r="A10" s="125" t="s">
        <v>648</v>
      </c>
      <c r="B10" s="142" t="s">
        <v>596</v>
      </c>
      <c r="C10" s="125" t="s">
        <v>597</v>
      </c>
      <c r="D10" s="151" t="s">
        <v>150</v>
      </c>
      <c r="E10" s="144">
        <v>1000000085</v>
      </c>
      <c r="F10" s="125"/>
      <c r="G10" s="145" t="s">
        <v>84</v>
      </c>
      <c r="H10" s="146" t="s">
        <v>649</v>
      </c>
      <c r="I10" s="145"/>
      <c r="J10" s="145"/>
      <c r="K10" s="145"/>
      <c r="L10" s="145"/>
      <c r="M10" s="145"/>
      <c r="N10" s="145"/>
    </row>
    <row r="11" spans="1:14" s="127" customFormat="1" ht="15" hidden="1" customHeight="1">
      <c r="A11" s="132" t="s">
        <v>615</v>
      </c>
      <c r="B11" s="132" t="s">
        <v>148</v>
      </c>
      <c r="C11" s="132" t="s">
        <v>616</v>
      </c>
      <c r="D11" s="133"/>
      <c r="E11" s="159">
        <v>1000000090</v>
      </c>
      <c r="F11" s="132" t="s">
        <v>616</v>
      </c>
      <c r="G11" s="125" t="s">
        <v>152</v>
      </c>
      <c r="H11" s="132" t="s">
        <v>617</v>
      </c>
      <c r="I11" s="132" t="s">
        <v>618</v>
      </c>
      <c r="J11" s="134" t="s">
        <v>619</v>
      </c>
      <c r="K11" s="134"/>
      <c r="L11" s="135">
        <v>43330</v>
      </c>
      <c r="M11" s="131"/>
      <c r="N11" s="132" t="s">
        <v>620</v>
      </c>
    </row>
    <row r="12" spans="1:14" s="131" customFormat="1" ht="15" hidden="1" customHeight="1">
      <c r="A12" s="125" t="s">
        <v>767</v>
      </c>
      <c r="B12" s="142" t="s">
        <v>754</v>
      </c>
      <c r="C12" s="125" t="s">
        <v>768</v>
      </c>
      <c r="D12" s="143" t="s">
        <v>627</v>
      </c>
      <c r="E12" s="144">
        <v>1000000093</v>
      </c>
      <c r="F12" s="125"/>
      <c r="G12" s="145" t="s">
        <v>84</v>
      </c>
      <c r="H12" s="146" t="s">
        <v>769</v>
      </c>
      <c r="I12" s="145"/>
      <c r="J12" s="145"/>
      <c r="K12" s="145"/>
      <c r="L12" s="145"/>
      <c r="M12" s="145"/>
      <c r="N12" s="145"/>
    </row>
    <row r="13" spans="1:14" s="127" customFormat="1" ht="15" hidden="1" customHeight="1">
      <c r="A13" s="125" t="s">
        <v>806</v>
      </c>
      <c r="B13" s="142"/>
      <c r="C13" s="125"/>
      <c r="D13" s="143"/>
      <c r="E13" s="144">
        <v>1000000094</v>
      </c>
      <c r="F13" s="125"/>
      <c r="G13" s="145" t="s">
        <v>84</v>
      </c>
      <c r="H13" s="146" t="s">
        <v>807</v>
      </c>
      <c r="I13" s="145"/>
      <c r="J13" s="145"/>
      <c r="K13" s="145"/>
      <c r="L13" s="145"/>
      <c r="M13" s="145"/>
      <c r="N13" s="145"/>
    </row>
    <row r="14" spans="1:14" s="127" customFormat="1" ht="15" hidden="1" customHeight="1">
      <c r="A14" s="125" t="s">
        <v>90</v>
      </c>
      <c r="B14" s="142" t="s">
        <v>87</v>
      </c>
      <c r="C14" s="125" t="s">
        <v>88</v>
      </c>
      <c r="D14" s="143" t="s">
        <v>16</v>
      </c>
      <c r="E14" s="144">
        <v>1000000102</v>
      </c>
      <c r="F14" s="125"/>
      <c r="G14" s="145" t="s">
        <v>84</v>
      </c>
      <c r="H14" s="146" t="s">
        <v>91</v>
      </c>
      <c r="I14" s="145"/>
      <c r="J14" s="145"/>
      <c r="K14" s="145"/>
      <c r="L14" s="145"/>
      <c r="M14" s="145"/>
      <c r="N14" s="145"/>
    </row>
    <row r="15" spans="1:14" s="127" customFormat="1" ht="15" hidden="1" customHeight="1">
      <c r="A15" s="125" t="s">
        <v>86</v>
      </c>
      <c r="B15" s="142" t="s">
        <v>320</v>
      </c>
      <c r="C15" s="125" t="s">
        <v>380</v>
      </c>
      <c r="D15" s="143" t="s">
        <v>227</v>
      </c>
      <c r="E15" s="179">
        <v>1000000104</v>
      </c>
      <c r="F15" s="125"/>
      <c r="G15" s="145" t="s">
        <v>84</v>
      </c>
      <c r="H15" s="146" t="s">
        <v>381</v>
      </c>
      <c r="I15" s="145"/>
      <c r="J15" s="145"/>
      <c r="K15" s="145"/>
      <c r="L15" s="145"/>
      <c r="M15" s="145"/>
      <c r="N15" s="145"/>
    </row>
    <row r="16" spans="1:14" s="127" customFormat="1" ht="15" hidden="1" customHeight="1">
      <c r="A16" s="125" t="s">
        <v>86</v>
      </c>
      <c r="B16" s="142" t="s">
        <v>591</v>
      </c>
      <c r="C16" s="125" t="s">
        <v>650</v>
      </c>
      <c r="D16" s="143" t="s">
        <v>150</v>
      </c>
      <c r="E16" s="179">
        <v>1000000106</v>
      </c>
      <c r="F16" s="125"/>
      <c r="G16" s="145" t="s">
        <v>84</v>
      </c>
      <c r="H16" s="146" t="s">
        <v>651</v>
      </c>
      <c r="I16" s="145"/>
      <c r="J16" s="145"/>
      <c r="K16" s="145"/>
      <c r="L16" s="145"/>
      <c r="M16" s="145"/>
      <c r="N16" s="145"/>
    </row>
    <row r="17" spans="1:14" s="127" customFormat="1" ht="15" hidden="1" customHeight="1">
      <c r="A17" s="140" t="s">
        <v>86</v>
      </c>
      <c r="B17" s="156" t="s">
        <v>87</v>
      </c>
      <c r="C17" s="140" t="s">
        <v>88</v>
      </c>
      <c r="D17" s="157" t="s">
        <v>16</v>
      </c>
      <c r="E17" s="174">
        <v>1000000107</v>
      </c>
      <c r="F17" s="140"/>
      <c r="G17" s="175" t="s">
        <v>84</v>
      </c>
      <c r="H17" s="177" t="s">
        <v>89</v>
      </c>
      <c r="I17" s="175"/>
      <c r="J17" s="175"/>
      <c r="K17" s="175"/>
      <c r="L17" s="175"/>
      <c r="M17" s="175"/>
      <c r="N17" s="175"/>
    </row>
    <row r="18" spans="1:14" ht="15" hidden="1" customHeight="1">
      <c r="A18" s="125" t="s">
        <v>516</v>
      </c>
      <c r="B18" s="142" t="s">
        <v>483</v>
      </c>
      <c r="C18" s="142" t="s">
        <v>483</v>
      </c>
      <c r="D18" s="151" t="s">
        <v>427</v>
      </c>
      <c r="E18" s="144">
        <v>1000000108</v>
      </c>
      <c r="G18" s="145" t="s">
        <v>84</v>
      </c>
      <c r="H18" s="146" t="s">
        <v>517</v>
      </c>
      <c r="I18" s="145"/>
      <c r="J18" s="145"/>
      <c r="K18" s="145"/>
      <c r="L18" s="145"/>
      <c r="M18" s="145"/>
      <c r="N18" s="145"/>
    </row>
    <row r="19" spans="1:14" s="127" customFormat="1" ht="15" hidden="1" customHeight="1">
      <c r="A19" s="126" t="s">
        <v>520</v>
      </c>
      <c r="B19" s="171" t="s">
        <v>425</v>
      </c>
      <c r="C19" s="171" t="s">
        <v>425</v>
      </c>
      <c r="D19" s="173" t="s">
        <v>427</v>
      </c>
      <c r="E19" s="182">
        <v>1000000112</v>
      </c>
      <c r="F19" s="126"/>
      <c r="G19" s="183" t="s">
        <v>84</v>
      </c>
      <c r="H19" s="186" t="s">
        <v>521</v>
      </c>
      <c r="I19" s="183"/>
      <c r="J19" s="183"/>
      <c r="K19" s="183"/>
      <c r="L19" s="183"/>
      <c r="M19" s="183"/>
      <c r="N19" s="183"/>
    </row>
    <row r="20" spans="1:14" s="127" customFormat="1" ht="15" hidden="1" customHeight="1">
      <c r="A20" s="125" t="s">
        <v>723</v>
      </c>
      <c r="B20" s="142" t="s">
        <v>697</v>
      </c>
      <c r="C20" s="125" t="s">
        <v>724</v>
      </c>
      <c r="D20" s="143" t="s">
        <v>679</v>
      </c>
      <c r="E20" s="144">
        <v>1000000125</v>
      </c>
      <c r="F20" s="125"/>
      <c r="G20" s="145" t="s">
        <v>84</v>
      </c>
      <c r="H20" s="146" t="s">
        <v>725</v>
      </c>
      <c r="I20" s="145"/>
      <c r="J20" s="145"/>
      <c r="K20" s="145"/>
      <c r="L20" s="145"/>
      <c r="M20" s="145"/>
      <c r="N20" s="145"/>
    </row>
    <row r="21" spans="1:14" s="127" customFormat="1" ht="15" hidden="1" customHeight="1">
      <c r="A21" s="125" t="s">
        <v>726</v>
      </c>
      <c r="B21" s="231" t="s">
        <v>697</v>
      </c>
      <c r="C21" s="125" t="s">
        <v>724</v>
      </c>
      <c r="D21" s="143" t="s">
        <v>679</v>
      </c>
      <c r="E21" s="144">
        <v>1000000126</v>
      </c>
      <c r="F21" s="125"/>
      <c r="G21" s="145" t="s">
        <v>84</v>
      </c>
      <c r="H21" s="146" t="s">
        <v>725</v>
      </c>
      <c r="I21" s="145"/>
      <c r="J21" s="145"/>
      <c r="K21" s="145"/>
      <c r="L21" s="145"/>
      <c r="M21" s="145"/>
      <c r="N21" s="145"/>
    </row>
    <row r="22" spans="1:14" s="127" customFormat="1" ht="15" hidden="1" customHeight="1">
      <c r="A22" s="125" t="s">
        <v>382</v>
      </c>
      <c r="B22" s="142" t="s">
        <v>320</v>
      </c>
      <c r="C22" s="125" t="s">
        <v>380</v>
      </c>
      <c r="D22" s="143" t="s">
        <v>227</v>
      </c>
      <c r="E22" s="144">
        <v>1000000127</v>
      </c>
      <c r="F22" s="125"/>
      <c r="G22" s="145" t="s">
        <v>84</v>
      </c>
      <c r="H22" s="146" t="s">
        <v>381</v>
      </c>
      <c r="I22" s="145"/>
      <c r="J22" s="145"/>
      <c r="K22" s="145"/>
      <c r="L22" s="145"/>
      <c r="M22" s="145"/>
      <c r="N22" s="145"/>
    </row>
    <row r="23" spans="1:14" s="127" customFormat="1" ht="15" hidden="1" customHeight="1">
      <c r="A23" s="132" t="s">
        <v>224</v>
      </c>
      <c r="B23" s="132" t="s">
        <v>225</v>
      </c>
      <c r="C23" s="132" t="s">
        <v>226</v>
      </c>
      <c r="D23" s="133" t="s">
        <v>227</v>
      </c>
      <c r="E23" s="132" t="s">
        <v>163</v>
      </c>
      <c r="F23" s="132" t="s">
        <v>226</v>
      </c>
      <c r="G23" s="132" t="s">
        <v>143</v>
      </c>
      <c r="H23" s="132" t="s">
        <v>228</v>
      </c>
      <c r="I23" s="132" t="s">
        <v>229</v>
      </c>
      <c r="J23" s="134" t="s">
        <v>230</v>
      </c>
      <c r="K23" s="134"/>
      <c r="L23" s="239" t="s">
        <v>163</v>
      </c>
      <c r="M23" s="132" t="s">
        <v>163</v>
      </c>
      <c r="N23" s="240" t="s">
        <v>231</v>
      </c>
    </row>
    <row r="24" spans="1:14" s="127" customFormat="1" ht="15" hidden="1" customHeight="1">
      <c r="A24" s="125" t="s">
        <v>727</v>
      </c>
      <c r="B24" s="142" t="s">
        <v>705</v>
      </c>
      <c r="C24" s="125" t="s">
        <v>705</v>
      </c>
      <c r="D24" s="143" t="s">
        <v>679</v>
      </c>
      <c r="E24" s="144">
        <v>1000000131</v>
      </c>
      <c r="F24" s="125"/>
      <c r="G24" s="145" t="s">
        <v>84</v>
      </c>
      <c r="H24" s="146" t="s">
        <v>728</v>
      </c>
      <c r="I24" s="145"/>
      <c r="J24" s="145"/>
      <c r="K24" s="145"/>
      <c r="L24" s="145"/>
      <c r="M24" s="145"/>
      <c r="N24" s="145"/>
    </row>
    <row r="25" spans="1:14" s="127" customFormat="1" ht="15" hidden="1" customHeight="1">
      <c r="A25" s="125" t="s">
        <v>256</v>
      </c>
      <c r="B25" s="125" t="s">
        <v>257</v>
      </c>
      <c r="C25" s="125" t="s">
        <v>258</v>
      </c>
      <c r="D25" s="128" t="s">
        <v>259</v>
      </c>
      <c r="E25" s="125" t="s">
        <v>163</v>
      </c>
      <c r="F25" s="125" t="s">
        <v>258</v>
      </c>
      <c r="G25" s="125" t="s">
        <v>143</v>
      </c>
      <c r="H25" s="125" t="s">
        <v>26</v>
      </c>
      <c r="I25" s="125" t="s">
        <v>260</v>
      </c>
      <c r="J25" s="129" t="s">
        <v>261</v>
      </c>
      <c r="K25" s="129"/>
      <c r="L25" s="153">
        <v>43575</v>
      </c>
      <c r="M25" s="136">
        <v>45407</v>
      </c>
      <c r="N25" s="136" t="s">
        <v>262</v>
      </c>
    </row>
    <row r="26" spans="1:14" s="127" customFormat="1" ht="15" hidden="1" customHeight="1">
      <c r="A26" s="125" t="s">
        <v>383</v>
      </c>
      <c r="B26" s="142" t="s">
        <v>384</v>
      </c>
      <c r="C26" s="125" t="s">
        <v>385</v>
      </c>
      <c r="D26" s="143" t="s">
        <v>227</v>
      </c>
      <c r="E26" s="144">
        <v>1000000133</v>
      </c>
      <c r="F26" s="125"/>
      <c r="G26" s="145" t="s">
        <v>84</v>
      </c>
      <c r="H26" s="146" t="s">
        <v>386</v>
      </c>
      <c r="I26" s="145"/>
      <c r="J26" s="145"/>
      <c r="K26" s="145"/>
      <c r="L26" s="145"/>
      <c r="M26" s="145"/>
      <c r="N26" s="145"/>
    </row>
    <row r="27" spans="1:14" s="127" customFormat="1" ht="15" hidden="1" customHeight="1">
      <c r="A27" s="125" t="s">
        <v>387</v>
      </c>
      <c r="B27" s="142" t="s">
        <v>384</v>
      </c>
      <c r="C27" s="125" t="s">
        <v>385</v>
      </c>
      <c r="D27" s="143" t="s">
        <v>227</v>
      </c>
      <c r="E27" s="144">
        <v>1000000134</v>
      </c>
      <c r="F27" s="125"/>
      <c r="G27" s="145" t="s">
        <v>84</v>
      </c>
      <c r="H27" s="146" t="s">
        <v>386</v>
      </c>
      <c r="I27" s="145"/>
      <c r="J27" s="145"/>
      <c r="K27" s="145"/>
      <c r="L27" s="145"/>
      <c r="M27" s="145"/>
      <c r="N27" s="145"/>
    </row>
    <row r="28" spans="1:14" s="127" customFormat="1" ht="15" hidden="1" customHeight="1">
      <c r="A28" s="125" t="s">
        <v>770</v>
      </c>
      <c r="B28" s="142" t="s">
        <v>473</v>
      </c>
      <c r="C28" s="125" t="s">
        <v>771</v>
      </c>
      <c r="D28" s="143" t="s">
        <v>627</v>
      </c>
      <c r="E28" s="144">
        <v>1000000135</v>
      </c>
      <c r="F28" s="125"/>
      <c r="G28" s="145" t="s">
        <v>84</v>
      </c>
      <c r="H28" s="146" t="s">
        <v>772</v>
      </c>
      <c r="I28" s="145"/>
      <c r="J28" s="145"/>
      <c r="K28" s="145"/>
      <c r="L28" s="145"/>
      <c r="M28" s="145"/>
      <c r="N28" s="145"/>
    </row>
    <row r="29" spans="1:14" s="127" customFormat="1" ht="15" hidden="1" customHeight="1">
      <c r="A29" s="140" t="s">
        <v>773</v>
      </c>
      <c r="B29" s="156" t="s">
        <v>745</v>
      </c>
      <c r="C29" s="140" t="s">
        <v>745</v>
      </c>
      <c r="D29" s="157" t="s">
        <v>627</v>
      </c>
      <c r="E29" s="174">
        <v>1000000191</v>
      </c>
      <c r="F29" s="140"/>
      <c r="G29" s="175" t="s">
        <v>84</v>
      </c>
      <c r="H29" s="177" t="s">
        <v>774</v>
      </c>
      <c r="I29" s="175"/>
      <c r="J29" s="175"/>
      <c r="K29" s="175"/>
      <c r="L29" s="175"/>
      <c r="M29" s="175"/>
      <c r="N29" s="175"/>
    </row>
    <row r="30" spans="1:14" ht="15" hidden="1" customHeight="1">
      <c r="A30" s="125" t="s">
        <v>775</v>
      </c>
      <c r="B30" s="142" t="s">
        <v>749</v>
      </c>
      <c r="C30" s="125" t="s">
        <v>776</v>
      </c>
      <c r="D30" s="143" t="s">
        <v>627</v>
      </c>
      <c r="E30" s="144">
        <v>1000000192</v>
      </c>
      <c r="G30" s="145" t="s">
        <v>84</v>
      </c>
      <c r="H30" s="146" t="s">
        <v>777</v>
      </c>
      <c r="I30" s="145"/>
      <c r="J30" s="145"/>
      <c r="K30" s="145"/>
      <c r="L30" s="145"/>
      <c r="M30" s="145"/>
      <c r="N30" s="145"/>
    </row>
    <row r="31" spans="1:14" s="127" customFormat="1" ht="15" hidden="1" customHeight="1">
      <c r="A31" s="126" t="s">
        <v>524</v>
      </c>
      <c r="B31" s="126" t="s">
        <v>456</v>
      </c>
      <c r="C31" s="125" t="s">
        <v>456</v>
      </c>
      <c r="D31" s="173" t="s">
        <v>427</v>
      </c>
      <c r="E31" s="182">
        <v>1000000193</v>
      </c>
      <c r="F31" s="126"/>
      <c r="G31" s="183" t="s">
        <v>84</v>
      </c>
      <c r="H31" s="186" t="s">
        <v>525</v>
      </c>
      <c r="I31" s="183"/>
      <c r="J31" s="183"/>
      <c r="K31" s="183"/>
      <c r="L31" s="183"/>
      <c r="M31" s="183"/>
      <c r="N31" s="183"/>
    </row>
    <row r="32" spans="1:14" s="127" customFormat="1" ht="15" hidden="1" customHeight="1">
      <c r="A32" s="125" t="s">
        <v>537</v>
      </c>
      <c r="B32" s="142" t="s">
        <v>538</v>
      </c>
      <c r="C32" s="156" t="s">
        <v>538</v>
      </c>
      <c r="D32" s="151" t="s">
        <v>427</v>
      </c>
      <c r="E32" s="144">
        <v>1000000194</v>
      </c>
      <c r="F32" s="125"/>
      <c r="G32" s="145" t="s">
        <v>84</v>
      </c>
      <c r="H32" s="146" t="s">
        <v>539</v>
      </c>
      <c r="I32" s="145"/>
      <c r="J32" s="145"/>
      <c r="K32" s="145"/>
      <c r="L32" s="145"/>
      <c r="M32" s="145"/>
      <c r="N32" s="145"/>
    </row>
    <row r="33" spans="1:14" s="127" customFormat="1" ht="15" hidden="1" customHeight="1">
      <c r="A33" s="125" t="s">
        <v>682</v>
      </c>
      <c r="B33" s="142" t="s">
        <v>642</v>
      </c>
      <c r="C33" s="125" t="s">
        <v>683</v>
      </c>
      <c r="D33" s="143" t="s">
        <v>644</v>
      </c>
      <c r="E33" s="144">
        <v>1000000195</v>
      </c>
      <c r="F33" s="125"/>
      <c r="G33" s="145" t="s">
        <v>84</v>
      </c>
      <c r="H33" s="146" t="s">
        <v>684</v>
      </c>
      <c r="I33" s="145"/>
      <c r="J33" s="145"/>
      <c r="K33" s="145"/>
      <c r="L33" s="145"/>
      <c r="M33" s="145"/>
      <c r="N33" s="145"/>
    </row>
    <row r="34" spans="1:14" s="127" customFormat="1" ht="15" hidden="1" customHeight="1">
      <c r="A34" s="125" t="s">
        <v>518</v>
      </c>
      <c r="B34" s="142" t="s">
        <v>483</v>
      </c>
      <c r="C34" s="142" t="s">
        <v>483</v>
      </c>
      <c r="D34" s="151" t="s">
        <v>427</v>
      </c>
      <c r="E34" s="144">
        <v>1000000196</v>
      </c>
      <c r="F34" s="140"/>
      <c r="G34" s="175" t="s">
        <v>84</v>
      </c>
      <c r="H34" s="146" t="s">
        <v>519</v>
      </c>
      <c r="I34" s="145"/>
      <c r="J34" s="145"/>
      <c r="K34" s="145"/>
      <c r="L34" s="145"/>
      <c r="M34" s="145"/>
      <c r="N34" s="145"/>
    </row>
    <row r="35" spans="1:14" s="127" customFormat="1" ht="15" hidden="1" customHeight="1">
      <c r="A35" s="125" t="s">
        <v>778</v>
      </c>
      <c r="B35" s="142" t="s">
        <v>749</v>
      </c>
      <c r="C35" s="125" t="s">
        <v>776</v>
      </c>
      <c r="D35" s="143" t="s">
        <v>627</v>
      </c>
      <c r="E35" s="178">
        <v>1000000197</v>
      </c>
      <c r="F35" s="125"/>
      <c r="G35" s="145" t="s">
        <v>84</v>
      </c>
      <c r="H35" s="184" t="s">
        <v>777</v>
      </c>
      <c r="I35" s="145"/>
      <c r="J35" s="145"/>
      <c r="K35" s="145"/>
      <c r="L35" s="145"/>
      <c r="M35" s="145"/>
      <c r="N35" s="145"/>
    </row>
    <row r="36" spans="1:14" s="127" customFormat="1" ht="15" hidden="1" customHeight="1">
      <c r="A36" s="140" t="s">
        <v>431</v>
      </c>
      <c r="B36" s="140" t="s">
        <v>401</v>
      </c>
      <c r="C36" s="140" t="s">
        <v>402</v>
      </c>
      <c r="D36" s="157" t="s">
        <v>377</v>
      </c>
      <c r="E36" s="180">
        <v>1000000198</v>
      </c>
      <c r="F36" s="140"/>
      <c r="G36" s="175" t="s">
        <v>84</v>
      </c>
      <c r="H36" s="185" t="s">
        <v>432</v>
      </c>
      <c r="I36" s="175"/>
      <c r="J36" s="175"/>
      <c r="K36" s="175"/>
      <c r="L36" s="175"/>
      <c r="M36" s="175"/>
      <c r="N36" s="175"/>
    </row>
    <row r="37" spans="1:14" ht="15" hidden="1" customHeight="1">
      <c r="A37" s="125" t="s">
        <v>779</v>
      </c>
      <c r="B37" s="142" t="s">
        <v>754</v>
      </c>
      <c r="C37" s="125" t="s">
        <v>768</v>
      </c>
      <c r="D37" s="143" t="s">
        <v>627</v>
      </c>
      <c r="E37" s="144">
        <v>1000000199</v>
      </c>
      <c r="G37" s="145" t="s">
        <v>84</v>
      </c>
      <c r="H37" s="146" t="s">
        <v>780</v>
      </c>
      <c r="I37" s="145"/>
      <c r="J37" s="145"/>
      <c r="K37" s="145"/>
      <c r="L37" s="145"/>
      <c r="M37" s="145"/>
      <c r="N37" s="145"/>
    </row>
    <row r="38" spans="1:14" s="127" customFormat="1" ht="15" hidden="1" customHeight="1">
      <c r="A38" s="161" t="s">
        <v>242</v>
      </c>
      <c r="B38" s="172" t="s">
        <v>199</v>
      </c>
      <c r="C38" s="161" t="s">
        <v>243</v>
      </c>
      <c r="D38" s="243" t="s">
        <v>160</v>
      </c>
      <c r="E38" s="179">
        <v>1000000200</v>
      </c>
      <c r="F38" s="161"/>
      <c r="G38" s="176" t="s">
        <v>84</v>
      </c>
      <c r="H38" s="250" t="s">
        <v>244</v>
      </c>
      <c r="I38" s="176"/>
      <c r="J38" s="176"/>
      <c r="K38" s="176"/>
      <c r="L38" s="176"/>
      <c r="M38" s="176"/>
      <c r="N38" s="176"/>
    </row>
    <row r="39" spans="1:14" ht="15" hidden="1" customHeight="1">
      <c r="A39" s="125" t="s">
        <v>245</v>
      </c>
      <c r="B39" s="142" t="s">
        <v>199</v>
      </c>
      <c r="C39" s="125" t="s">
        <v>243</v>
      </c>
      <c r="D39" s="151" t="s">
        <v>160</v>
      </c>
      <c r="E39" s="144">
        <v>1000000201</v>
      </c>
      <c r="G39" s="145" t="s">
        <v>84</v>
      </c>
      <c r="H39" s="146" t="s">
        <v>246</v>
      </c>
      <c r="I39" s="145"/>
      <c r="J39" s="145"/>
      <c r="K39" s="145"/>
      <c r="L39" s="145"/>
      <c r="M39" s="145"/>
      <c r="N39" s="145"/>
    </row>
    <row r="40" spans="1:14" s="127" customFormat="1" ht="15" hidden="1" customHeight="1">
      <c r="A40" s="126" t="s">
        <v>232</v>
      </c>
      <c r="B40" s="171" t="s">
        <v>233</v>
      </c>
      <c r="C40" s="127" t="s">
        <v>234</v>
      </c>
      <c r="D40" s="173" t="s">
        <v>160</v>
      </c>
      <c r="E40" s="182">
        <v>1000000202</v>
      </c>
      <c r="F40" s="126"/>
      <c r="G40" s="183" t="s">
        <v>84</v>
      </c>
      <c r="H40" s="186" t="s">
        <v>235</v>
      </c>
      <c r="I40" s="183"/>
      <c r="J40" s="183"/>
      <c r="K40" s="183"/>
      <c r="L40" s="183"/>
      <c r="M40" s="183"/>
      <c r="N40" s="183"/>
    </row>
    <row r="41" spans="1:14" s="127" customFormat="1" ht="15" hidden="1" customHeight="1">
      <c r="A41" s="125" t="s">
        <v>388</v>
      </c>
      <c r="B41" s="142" t="s">
        <v>158</v>
      </c>
      <c r="C41" s="125" t="s">
        <v>389</v>
      </c>
      <c r="D41" s="143" t="s">
        <v>227</v>
      </c>
      <c r="E41" s="144">
        <v>1000000203</v>
      </c>
      <c r="F41" s="125"/>
      <c r="G41" s="145" t="s">
        <v>84</v>
      </c>
      <c r="H41" s="146" t="s">
        <v>390</v>
      </c>
      <c r="I41" s="145"/>
      <c r="J41" s="145"/>
      <c r="K41" s="145"/>
      <c r="L41" s="145"/>
      <c r="M41" s="145"/>
      <c r="N41" s="145"/>
    </row>
    <row r="42" spans="1:14" s="127" customFormat="1" ht="15" hidden="1" customHeight="1">
      <c r="A42" s="125" t="s">
        <v>652</v>
      </c>
      <c r="B42" s="142" t="s">
        <v>591</v>
      </c>
      <c r="C42" s="125" t="s">
        <v>650</v>
      </c>
      <c r="D42" s="143" t="s">
        <v>150</v>
      </c>
      <c r="E42" s="144">
        <v>1000000204</v>
      </c>
      <c r="F42" s="125"/>
      <c r="G42" s="145" t="s">
        <v>84</v>
      </c>
      <c r="H42" s="146" t="s">
        <v>653</v>
      </c>
      <c r="I42" s="145"/>
      <c r="J42" s="145"/>
      <c r="K42" s="145"/>
      <c r="L42" s="145"/>
      <c r="M42" s="145"/>
      <c r="N42" s="145"/>
    </row>
    <row r="43" spans="1:14" s="127" customFormat="1" ht="15" hidden="1" customHeight="1">
      <c r="A43" s="125" t="s">
        <v>781</v>
      </c>
      <c r="B43" s="142" t="s">
        <v>745</v>
      </c>
      <c r="C43" s="125" t="s">
        <v>782</v>
      </c>
      <c r="D43" s="143" t="s">
        <v>627</v>
      </c>
      <c r="E43" s="144">
        <v>1000000205</v>
      </c>
      <c r="F43" s="125"/>
      <c r="G43" s="145" t="s">
        <v>84</v>
      </c>
      <c r="H43" s="146"/>
      <c r="I43" s="145" t="s">
        <v>783</v>
      </c>
      <c r="J43" s="145" t="s">
        <v>783</v>
      </c>
      <c r="K43" s="145" t="s">
        <v>783</v>
      </c>
      <c r="L43" s="145" t="s">
        <v>783</v>
      </c>
      <c r="M43" s="145" t="s">
        <v>783</v>
      </c>
      <c r="N43" s="145" t="s">
        <v>783</v>
      </c>
    </row>
    <row r="44" spans="1:14" s="127" customFormat="1" ht="15" hidden="1" customHeight="1">
      <c r="A44" s="125" t="s">
        <v>784</v>
      </c>
      <c r="B44" s="142" t="s">
        <v>745</v>
      </c>
      <c r="C44" s="125" t="s">
        <v>745</v>
      </c>
      <c r="D44" s="143" t="s">
        <v>627</v>
      </c>
      <c r="E44" s="144">
        <v>1000000217</v>
      </c>
      <c r="F44" s="125"/>
      <c r="G44" s="145" t="s">
        <v>84</v>
      </c>
      <c r="H44" s="146" t="s">
        <v>774</v>
      </c>
      <c r="I44" s="145"/>
      <c r="J44" s="145"/>
      <c r="K44" s="145"/>
      <c r="L44" s="145"/>
      <c r="M44" s="145"/>
      <c r="N44" s="145"/>
    </row>
    <row r="45" spans="1:14" s="127" customFormat="1" ht="15" hidden="1" customHeight="1">
      <c r="A45" s="125" t="s">
        <v>785</v>
      </c>
      <c r="B45" s="142" t="s">
        <v>745</v>
      </c>
      <c r="C45" s="125" t="s">
        <v>782</v>
      </c>
      <c r="D45" s="143" t="s">
        <v>627</v>
      </c>
      <c r="E45" s="144">
        <v>1000000218</v>
      </c>
      <c r="F45" s="125"/>
      <c r="G45" s="145" t="s">
        <v>84</v>
      </c>
      <c r="H45" s="146" t="s">
        <v>786</v>
      </c>
      <c r="I45" s="145"/>
      <c r="J45" s="145"/>
      <c r="K45" s="145"/>
      <c r="L45" s="145"/>
      <c r="M45" s="145"/>
      <c r="N45" s="145"/>
    </row>
    <row r="46" spans="1:14" s="127" customFormat="1" ht="15" hidden="1" customHeight="1">
      <c r="A46" s="125" t="s">
        <v>433</v>
      </c>
      <c r="B46" s="125" t="s">
        <v>401</v>
      </c>
      <c r="C46" s="125" t="s">
        <v>402</v>
      </c>
      <c r="D46" s="143" t="s">
        <v>377</v>
      </c>
      <c r="E46" s="144">
        <v>1000000219</v>
      </c>
      <c r="F46" s="125"/>
      <c r="G46" s="145" t="s">
        <v>84</v>
      </c>
      <c r="H46" s="146" t="s">
        <v>434</v>
      </c>
      <c r="I46" s="145"/>
      <c r="J46" s="145"/>
      <c r="K46" s="145"/>
      <c r="L46" s="145"/>
      <c r="M46" s="145"/>
      <c r="N46" s="145"/>
    </row>
    <row r="47" spans="1:14" s="127" customFormat="1" ht="15" hidden="1" customHeight="1">
      <c r="A47" s="125" t="s">
        <v>808</v>
      </c>
      <c r="B47" s="142" t="s">
        <v>809</v>
      </c>
      <c r="C47" s="142" t="s">
        <v>809</v>
      </c>
      <c r="D47" s="151" t="s">
        <v>810</v>
      </c>
      <c r="E47" s="144">
        <v>1000000220</v>
      </c>
      <c r="F47" s="125"/>
      <c r="G47" s="145" t="s">
        <v>84</v>
      </c>
      <c r="H47" s="146" t="s">
        <v>539</v>
      </c>
      <c r="I47" s="145"/>
      <c r="J47" s="145"/>
      <c r="K47" s="145"/>
      <c r="L47" s="145"/>
      <c r="M47" s="145"/>
      <c r="N47" s="145"/>
    </row>
    <row r="48" spans="1:14" s="127" customFormat="1" ht="15" hidden="1" customHeight="1">
      <c r="A48" s="125" t="s">
        <v>391</v>
      </c>
      <c r="B48" s="142" t="s">
        <v>158</v>
      </c>
      <c r="C48" s="125" t="s">
        <v>389</v>
      </c>
      <c r="D48" s="143" t="s">
        <v>227</v>
      </c>
      <c r="E48" s="144">
        <v>1000000224</v>
      </c>
      <c r="F48" s="125"/>
      <c r="G48" s="145" t="s">
        <v>84</v>
      </c>
      <c r="H48" s="146" t="s">
        <v>390</v>
      </c>
      <c r="I48" s="145"/>
      <c r="J48" s="145"/>
      <c r="K48" s="145"/>
      <c r="L48" s="145"/>
      <c r="M48" s="145"/>
      <c r="N48" s="145"/>
    </row>
    <row r="49" spans="1:14" s="127" customFormat="1" ht="15" hidden="1" customHeight="1">
      <c r="A49" s="125" t="s">
        <v>787</v>
      </c>
      <c r="B49" s="142" t="s">
        <v>473</v>
      </c>
      <c r="C49" s="125" t="s">
        <v>771</v>
      </c>
      <c r="D49" s="143" t="s">
        <v>627</v>
      </c>
      <c r="E49" s="144">
        <v>1000000225</v>
      </c>
      <c r="F49" s="125"/>
      <c r="G49" s="145" t="s">
        <v>84</v>
      </c>
      <c r="H49" s="146" t="s">
        <v>788</v>
      </c>
      <c r="I49" s="145"/>
      <c r="J49" s="145"/>
      <c r="K49" s="145"/>
      <c r="L49" s="145"/>
      <c r="M49" s="145"/>
      <c r="N49" s="145"/>
    </row>
    <row r="50" spans="1:14" s="127" customFormat="1" ht="15" hidden="1" customHeight="1">
      <c r="A50" s="125" t="s">
        <v>811</v>
      </c>
      <c r="B50" s="125" t="s">
        <v>812</v>
      </c>
      <c r="C50" s="125" t="s">
        <v>812</v>
      </c>
      <c r="D50" s="143" t="s">
        <v>16</v>
      </c>
      <c r="E50" s="144">
        <v>1000000226</v>
      </c>
      <c r="F50" s="125"/>
      <c r="G50" s="145" t="s">
        <v>84</v>
      </c>
      <c r="H50" s="146" t="s">
        <v>813</v>
      </c>
      <c r="I50" s="145"/>
      <c r="J50" s="145"/>
      <c r="K50" s="145"/>
      <c r="L50" s="145"/>
      <c r="M50" s="145"/>
      <c r="N50" s="145"/>
    </row>
    <row r="51" spans="1:14" s="127" customFormat="1" ht="15" hidden="1" customHeight="1">
      <c r="A51" s="125" t="s">
        <v>814</v>
      </c>
      <c r="B51" s="125" t="s">
        <v>815</v>
      </c>
      <c r="C51" s="125" t="s">
        <v>815</v>
      </c>
      <c r="D51" s="151" t="s">
        <v>511</v>
      </c>
      <c r="E51" s="144">
        <v>1000000227</v>
      </c>
      <c r="F51" s="125"/>
      <c r="G51" s="145" t="s">
        <v>84</v>
      </c>
      <c r="H51" s="146" t="s">
        <v>816</v>
      </c>
      <c r="I51" s="145"/>
      <c r="J51" s="145"/>
      <c r="K51" s="145"/>
      <c r="L51" s="145"/>
      <c r="M51" s="145"/>
      <c r="N51" s="145"/>
    </row>
    <row r="52" spans="1:14" s="127" customFormat="1" ht="15" hidden="1" customHeight="1">
      <c r="A52" s="125" t="s">
        <v>817</v>
      </c>
      <c r="B52" s="125" t="s">
        <v>818</v>
      </c>
      <c r="C52" s="125" t="s">
        <v>819</v>
      </c>
      <c r="D52" s="151"/>
      <c r="E52" s="144">
        <v>1000000328</v>
      </c>
      <c r="F52" s="125"/>
      <c r="G52" s="145" t="s">
        <v>84</v>
      </c>
      <c r="H52" s="146" t="s">
        <v>820</v>
      </c>
      <c r="I52" s="145"/>
      <c r="J52" s="145"/>
      <c r="K52" s="145"/>
      <c r="L52" s="145"/>
      <c r="M52" s="145"/>
      <c r="N52" s="145"/>
    </row>
    <row r="53" spans="1:14" s="127" customFormat="1" ht="15" hidden="1" customHeight="1">
      <c r="A53" s="125" t="s">
        <v>263</v>
      </c>
      <c r="B53" s="125" t="s">
        <v>264</v>
      </c>
      <c r="C53" s="125" t="s">
        <v>265</v>
      </c>
      <c r="D53" s="128" t="s">
        <v>227</v>
      </c>
      <c r="E53" s="125" t="s">
        <v>266</v>
      </c>
      <c r="F53" s="125" t="s">
        <v>265</v>
      </c>
      <c r="G53" s="125" t="s">
        <v>143</v>
      </c>
      <c r="H53" s="125" t="s">
        <v>267</v>
      </c>
      <c r="I53" s="125" t="s">
        <v>163</v>
      </c>
      <c r="J53" s="125" t="s">
        <v>163</v>
      </c>
      <c r="K53" s="125"/>
      <c r="L53" s="153">
        <v>42979</v>
      </c>
      <c r="M53" s="136">
        <v>44805</v>
      </c>
      <c r="N53" s="125" t="s">
        <v>268</v>
      </c>
    </row>
    <row r="54" spans="1:14" s="127" customFormat="1" ht="15" hidden="1" customHeight="1">
      <c r="A54" s="125" t="s">
        <v>729</v>
      </c>
      <c r="B54" s="142" t="s">
        <v>701</v>
      </c>
      <c r="C54" s="125" t="s">
        <v>701</v>
      </c>
      <c r="D54" s="143" t="s">
        <v>679</v>
      </c>
      <c r="E54" s="144">
        <v>1000000331</v>
      </c>
      <c r="F54" s="125"/>
      <c r="G54" s="145" t="s">
        <v>84</v>
      </c>
      <c r="H54" s="146" t="s">
        <v>730</v>
      </c>
      <c r="I54" s="145"/>
      <c r="J54" s="145"/>
      <c r="K54" s="145"/>
      <c r="L54" s="145"/>
      <c r="M54" s="145"/>
      <c r="N54" s="145"/>
    </row>
    <row r="55" spans="1:14" s="127" customFormat="1" ht="15" hidden="1" customHeight="1">
      <c r="A55" s="125" t="s">
        <v>522</v>
      </c>
      <c r="B55" s="142" t="s">
        <v>425</v>
      </c>
      <c r="C55" s="142" t="s">
        <v>425</v>
      </c>
      <c r="D55" s="143" t="s">
        <v>427</v>
      </c>
      <c r="E55" s="144">
        <v>1000000343</v>
      </c>
      <c r="F55" s="125"/>
      <c r="G55" s="145" t="s">
        <v>84</v>
      </c>
      <c r="H55" s="146" t="s">
        <v>523</v>
      </c>
      <c r="I55" s="145"/>
      <c r="J55" s="145"/>
      <c r="K55" s="145"/>
      <c r="L55" s="145"/>
      <c r="M55" s="145"/>
      <c r="N55" s="145"/>
    </row>
    <row r="56" spans="1:14" s="127" customFormat="1" ht="15" hidden="1" customHeight="1">
      <c r="A56" s="125" t="s">
        <v>731</v>
      </c>
      <c r="B56" s="142" t="s">
        <v>705</v>
      </c>
      <c r="C56" s="125" t="s">
        <v>705</v>
      </c>
      <c r="D56" s="143" t="s">
        <v>679</v>
      </c>
      <c r="E56" s="144">
        <v>1000000344</v>
      </c>
      <c r="F56" s="140"/>
      <c r="G56" s="175" t="s">
        <v>84</v>
      </c>
      <c r="H56" s="146" t="s">
        <v>732</v>
      </c>
      <c r="I56" s="145"/>
      <c r="J56" s="145"/>
      <c r="K56" s="145"/>
      <c r="L56" s="145"/>
      <c r="M56" s="145"/>
      <c r="N56" s="145"/>
    </row>
    <row r="57" spans="1:14" s="199" customFormat="1" ht="15" hidden="1" customHeight="1">
      <c r="A57" s="125" t="s">
        <v>821</v>
      </c>
      <c r="B57" s="125" t="s">
        <v>815</v>
      </c>
      <c r="C57" s="125" t="s">
        <v>815</v>
      </c>
      <c r="D57" s="151" t="s">
        <v>511</v>
      </c>
      <c r="E57" s="178">
        <v>1000000359</v>
      </c>
      <c r="F57" s="125"/>
      <c r="G57" s="145" t="s">
        <v>84</v>
      </c>
      <c r="H57" s="184" t="s">
        <v>822</v>
      </c>
      <c r="I57" s="145"/>
      <c r="J57" s="145"/>
      <c r="K57" s="145"/>
      <c r="L57" s="145"/>
      <c r="M57" s="145"/>
      <c r="N57" s="145"/>
    </row>
    <row r="58" spans="1:14" s="127" customFormat="1" ht="15" hidden="1" customHeight="1">
      <c r="A58" s="125" t="s">
        <v>247</v>
      </c>
      <c r="B58" s="142" t="s">
        <v>221</v>
      </c>
      <c r="C58" s="125" t="s">
        <v>248</v>
      </c>
      <c r="D58" s="143" t="s">
        <v>160</v>
      </c>
      <c r="E58" s="144">
        <v>1000000368</v>
      </c>
      <c r="F58" s="126"/>
      <c r="G58" s="183" t="s">
        <v>84</v>
      </c>
      <c r="H58" s="146" t="s">
        <v>249</v>
      </c>
      <c r="I58" s="145"/>
      <c r="J58" s="145"/>
      <c r="K58" s="145"/>
      <c r="L58" s="145"/>
      <c r="M58" s="145"/>
      <c r="N58" s="145"/>
    </row>
    <row r="59" spans="1:14" s="127" customFormat="1" ht="15" hidden="1" customHeight="1">
      <c r="A59" s="125" t="s">
        <v>250</v>
      </c>
      <c r="B59" s="142" t="s">
        <v>221</v>
      </c>
      <c r="C59" s="125" t="s">
        <v>248</v>
      </c>
      <c r="D59" s="143" t="s">
        <v>160</v>
      </c>
      <c r="E59" s="144">
        <v>1000000369</v>
      </c>
      <c r="F59" s="125"/>
      <c r="G59" s="145" t="s">
        <v>84</v>
      </c>
      <c r="H59" s="146" t="s">
        <v>249</v>
      </c>
      <c r="I59" s="145"/>
      <c r="J59" s="145"/>
      <c r="K59" s="145"/>
      <c r="L59" s="145"/>
      <c r="M59" s="145"/>
      <c r="N59" s="145"/>
    </row>
    <row r="60" spans="1:14" s="127" customFormat="1" ht="15" hidden="1" customHeight="1">
      <c r="A60" s="125" t="s">
        <v>586</v>
      </c>
      <c r="B60" s="142" t="s">
        <v>555</v>
      </c>
      <c r="C60" s="125" t="s">
        <v>587</v>
      </c>
      <c r="D60" s="151" t="s">
        <v>511</v>
      </c>
      <c r="E60" s="144">
        <v>1000000381</v>
      </c>
      <c r="F60" s="125"/>
      <c r="G60" s="145" t="s">
        <v>84</v>
      </c>
      <c r="H60" s="146" t="s">
        <v>588</v>
      </c>
      <c r="I60" s="145"/>
      <c r="J60" s="145"/>
      <c r="K60" s="145"/>
      <c r="L60" s="145"/>
      <c r="M60" s="145"/>
      <c r="N60" s="145"/>
    </row>
    <row r="61" spans="1:14" s="127" customFormat="1" ht="15" hidden="1" customHeight="1">
      <c r="A61" s="125" t="s">
        <v>589</v>
      </c>
      <c r="B61" s="142" t="s">
        <v>555</v>
      </c>
      <c r="C61" s="125" t="s">
        <v>587</v>
      </c>
      <c r="D61" s="151" t="s">
        <v>511</v>
      </c>
      <c r="E61" s="144">
        <v>1000000382</v>
      </c>
      <c r="F61" s="125"/>
      <c r="G61" s="145" t="s">
        <v>84</v>
      </c>
      <c r="H61" s="146" t="s">
        <v>588</v>
      </c>
      <c r="I61" s="145"/>
      <c r="J61" s="145"/>
      <c r="K61" s="145"/>
      <c r="L61" s="145"/>
      <c r="M61" s="145"/>
      <c r="N61" s="145"/>
    </row>
    <row r="62" spans="1:14" s="127" customFormat="1" ht="15" hidden="1" customHeight="1">
      <c r="A62" s="125" t="s">
        <v>823</v>
      </c>
      <c r="B62" s="125" t="s">
        <v>818</v>
      </c>
      <c r="C62" s="125" t="s">
        <v>818</v>
      </c>
      <c r="D62" s="151"/>
      <c r="E62" s="144">
        <v>1000000409</v>
      </c>
      <c r="F62" s="125"/>
      <c r="G62" s="145" t="s">
        <v>84</v>
      </c>
      <c r="H62" s="146" t="s">
        <v>824</v>
      </c>
      <c r="I62" s="145"/>
      <c r="J62" s="145"/>
      <c r="K62" s="145"/>
      <c r="L62" s="145"/>
      <c r="M62" s="145"/>
      <c r="N62" s="145"/>
    </row>
    <row r="63" spans="1:14" s="127" customFormat="1" ht="15" hidden="1" customHeight="1">
      <c r="A63" s="125" t="s">
        <v>733</v>
      </c>
      <c r="B63" s="142" t="s">
        <v>734</v>
      </c>
      <c r="C63" s="125" t="s">
        <v>677</v>
      </c>
      <c r="D63" s="143" t="s">
        <v>679</v>
      </c>
      <c r="E63" s="144">
        <v>1000000410</v>
      </c>
      <c r="F63" s="125" t="s">
        <v>735</v>
      </c>
      <c r="G63" s="145" t="s">
        <v>84</v>
      </c>
      <c r="H63" s="146" t="s">
        <v>736</v>
      </c>
      <c r="I63" s="145"/>
      <c r="J63" s="145"/>
      <c r="K63" s="145"/>
      <c r="L63" s="145"/>
      <c r="M63" s="145"/>
      <c r="N63" s="145"/>
    </row>
    <row r="64" spans="1:14" s="127" customFormat="1" ht="15" hidden="1" customHeight="1">
      <c r="A64" s="125" t="s">
        <v>435</v>
      </c>
      <c r="B64" s="142" t="s">
        <v>376</v>
      </c>
      <c r="C64" s="142" t="s">
        <v>376</v>
      </c>
      <c r="D64" s="143" t="s">
        <v>377</v>
      </c>
      <c r="E64" s="144">
        <v>1000000411</v>
      </c>
      <c r="F64" s="125"/>
      <c r="G64" s="145" t="s">
        <v>84</v>
      </c>
      <c r="H64" s="146" t="s">
        <v>436</v>
      </c>
      <c r="I64" s="145"/>
      <c r="J64" s="145"/>
      <c r="K64" s="145"/>
      <c r="L64" s="145"/>
      <c r="M64" s="145"/>
      <c r="N64" s="145"/>
    </row>
    <row r="65" spans="1:14" s="127" customFormat="1" ht="15" hidden="1" customHeight="1">
      <c r="A65" s="125" t="s">
        <v>437</v>
      </c>
      <c r="B65" s="142" t="s">
        <v>376</v>
      </c>
      <c r="C65" s="142" t="s">
        <v>376</v>
      </c>
      <c r="D65" s="143" t="s">
        <v>377</v>
      </c>
      <c r="E65" s="144">
        <v>1000000412</v>
      </c>
      <c r="F65" s="125"/>
      <c r="G65" s="145" t="s">
        <v>84</v>
      </c>
      <c r="H65" s="146" t="s">
        <v>438</v>
      </c>
      <c r="I65" s="145"/>
      <c r="J65" s="145"/>
      <c r="K65" s="145"/>
      <c r="L65" s="145"/>
      <c r="M65" s="145"/>
      <c r="N65" s="145"/>
    </row>
    <row r="66" spans="1:14" s="127" customFormat="1" ht="15" hidden="1" customHeight="1">
      <c r="A66" s="125" t="s">
        <v>439</v>
      </c>
      <c r="B66" s="142" t="s">
        <v>412</v>
      </c>
      <c r="C66" s="142" t="s">
        <v>412</v>
      </c>
      <c r="D66" s="143" t="s">
        <v>377</v>
      </c>
      <c r="E66" s="144">
        <v>1000000413</v>
      </c>
      <c r="F66" s="125"/>
      <c r="G66" s="145" t="s">
        <v>84</v>
      </c>
      <c r="H66" s="146" t="s">
        <v>440</v>
      </c>
      <c r="I66" s="145"/>
      <c r="J66" s="145"/>
      <c r="K66" s="145"/>
      <c r="L66" s="145"/>
      <c r="M66" s="145"/>
      <c r="N66" s="145"/>
    </row>
    <row r="67" spans="1:14" s="127" customFormat="1" ht="15" hidden="1" customHeight="1">
      <c r="A67" s="125" t="s">
        <v>269</v>
      </c>
      <c r="B67" s="139" t="s">
        <v>270</v>
      </c>
      <c r="C67" s="125" t="s">
        <v>271</v>
      </c>
      <c r="D67" s="128" t="s">
        <v>272</v>
      </c>
      <c r="E67" s="139" t="s">
        <v>273</v>
      </c>
      <c r="F67" s="125" t="s">
        <v>271</v>
      </c>
      <c r="G67" s="125" t="s">
        <v>143</v>
      </c>
      <c r="H67" s="125" t="s">
        <v>274</v>
      </c>
      <c r="I67" s="139" t="s">
        <v>275</v>
      </c>
      <c r="J67" s="129">
        <v>4501277397</v>
      </c>
      <c r="K67" s="129"/>
      <c r="L67" s="153">
        <v>45130</v>
      </c>
      <c r="M67" s="136">
        <v>46957</v>
      </c>
      <c r="N67" s="125" t="s">
        <v>276</v>
      </c>
    </row>
    <row r="68" spans="1:14" s="127" customFormat="1" ht="15" hidden="1" customHeight="1">
      <c r="A68" s="125" t="s">
        <v>825</v>
      </c>
      <c r="B68" s="231"/>
      <c r="C68" s="125" t="s">
        <v>826</v>
      </c>
      <c r="D68" s="143"/>
      <c r="E68" s="144">
        <v>1000000415</v>
      </c>
      <c r="F68" s="140"/>
      <c r="G68" s="175" t="s">
        <v>84</v>
      </c>
      <c r="H68" s="146" t="s">
        <v>827</v>
      </c>
      <c r="I68" s="145"/>
      <c r="J68" s="145"/>
      <c r="K68" s="145"/>
      <c r="L68" s="145"/>
      <c r="M68" s="145"/>
      <c r="N68" s="145"/>
    </row>
    <row r="69" spans="1:14" s="127" customFormat="1" ht="15" hidden="1" customHeight="1">
      <c r="A69" s="125" t="s">
        <v>494</v>
      </c>
      <c r="B69" s="125" t="s">
        <v>148</v>
      </c>
      <c r="C69" s="125" t="s">
        <v>495</v>
      </c>
      <c r="D69" s="128" t="s">
        <v>427</v>
      </c>
      <c r="E69" s="247">
        <v>1000000505</v>
      </c>
      <c r="F69" s="125" t="s">
        <v>490</v>
      </c>
      <c r="G69" s="125" t="s">
        <v>152</v>
      </c>
      <c r="H69" s="150" t="s">
        <v>491</v>
      </c>
      <c r="I69" s="125" t="s">
        <v>496</v>
      </c>
      <c r="J69" s="125" t="s">
        <v>163</v>
      </c>
      <c r="K69" s="125"/>
      <c r="L69" s="238">
        <v>44603</v>
      </c>
      <c r="M69" s="125" t="s">
        <v>163</v>
      </c>
      <c r="N69" s="234" t="s">
        <v>497</v>
      </c>
    </row>
    <row r="70" spans="1:14" s="127" customFormat="1" ht="15" hidden="1" customHeight="1">
      <c r="A70" s="125" t="s">
        <v>534</v>
      </c>
      <c r="B70" s="142" t="s">
        <v>478</v>
      </c>
      <c r="C70" s="142" t="s">
        <v>478</v>
      </c>
      <c r="D70" s="151" t="s">
        <v>427</v>
      </c>
      <c r="E70" s="144">
        <v>1000000637</v>
      </c>
      <c r="F70" s="126"/>
      <c r="G70" s="183" t="s">
        <v>84</v>
      </c>
      <c r="H70" s="146" t="s">
        <v>535</v>
      </c>
      <c r="I70" s="145"/>
      <c r="J70" s="145"/>
      <c r="K70" s="145"/>
      <c r="L70" s="145"/>
      <c r="M70" s="145"/>
      <c r="N70" s="145"/>
    </row>
    <row r="71" spans="1:14" s="127" customFormat="1" ht="15" hidden="1" customHeight="1">
      <c r="A71" s="125" t="s">
        <v>536</v>
      </c>
      <c r="B71" s="142" t="s">
        <v>478</v>
      </c>
      <c r="C71" s="142" t="s">
        <v>478</v>
      </c>
      <c r="D71" s="151" t="s">
        <v>427</v>
      </c>
      <c r="E71" s="144">
        <v>1000000638</v>
      </c>
      <c r="F71" s="125"/>
      <c r="G71" s="145" t="s">
        <v>84</v>
      </c>
      <c r="H71" s="146" t="s">
        <v>535</v>
      </c>
      <c r="I71" s="145"/>
      <c r="J71" s="145"/>
      <c r="K71" s="145"/>
      <c r="L71" s="145"/>
      <c r="M71" s="145"/>
      <c r="N71" s="145"/>
    </row>
    <row r="72" spans="1:14" s="127" customFormat="1" ht="15" hidden="1" customHeight="1">
      <c r="A72" s="125" t="s">
        <v>277</v>
      </c>
      <c r="B72" s="139" t="s">
        <v>1364</v>
      </c>
      <c r="C72" s="125" t="s">
        <v>1363</v>
      </c>
      <c r="D72" s="128" t="s">
        <v>272</v>
      </c>
      <c r="E72" s="139" t="s">
        <v>279</v>
      </c>
      <c r="F72" s="125" t="str">
        <f>C72</f>
        <v>BoonsonC</v>
      </c>
      <c r="G72" s="125" t="s">
        <v>143</v>
      </c>
      <c r="H72" s="125" t="s">
        <v>274</v>
      </c>
      <c r="I72" s="139" t="s">
        <v>280</v>
      </c>
      <c r="J72" s="129">
        <v>4501277397</v>
      </c>
      <c r="K72" s="129"/>
      <c r="L72" s="153">
        <v>45130</v>
      </c>
      <c r="M72" s="136">
        <v>46957</v>
      </c>
      <c r="N72" s="125"/>
    </row>
    <row r="73" spans="1:14" s="127" customFormat="1" ht="15" hidden="1" customHeight="1">
      <c r="A73" s="125" t="s">
        <v>281</v>
      </c>
      <c r="B73" s="125" t="s">
        <v>278</v>
      </c>
      <c r="C73" s="125" t="s">
        <v>282</v>
      </c>
      <c r="D73" s="143" t="s">
        <v>272</v>
      </c>
      <c r="E73" s="129" t="s">
        <v>283</v>
      </c>
      <c r="F73" s="125" t="str">
        <f>C73</f>
        <v>BiswasSa</v>
      </c>
      <c r="G73" s="125" t="s">
        <v>143</v>
      </c>
      <c r="H73" s="125" t="s">
        <v>284</v>
      </c>
      <c r="I73" s="125" t="s">
        <v>285</v>
      </c>
      <c r="J73" s="163">
        <v>4501580024</v>
      </c>
      <c r="K73" s="125" t="s">
        <v>286</v>
      </c>
      <c r="L73" s="149">
        <v>45855</v>
      </c>
      <c r="M73" s="125"/>
      <c r="N73" s="125"/>
    </row>
    <row r="74" spans="1:14" s="127" customFormat="1" ht="15" hidden="1" customHeight="1">
      <c r="A74" s="125" t="s">
        <v>441</v>
      </c>
      <c r="B74" s="142" t="s">
        <v>412</v>
      </c>
      <c r="C74" s="231" t="s">
        <v>412</v>
      </c>
      <c r="D74" s="143" t="s">
        <v>377</v>
      </c>
      <c r="E74" s="144">
        <v>1000000673</v>
      </c>
      <c r="F74" s="125"/>
      <c r="G74" s="145" t="s">
        <v>84</v>
      </c>
      <c r="H74" s="146" t="s">
        <v>442</v>
      </c>
      <c r="I74" s="145"/>
      <c r="J74" s="145"/>
      <c r="K74" s="145"/>
      <c r="L74" s="145"/>
      <c r="M74" s="145"/>
      <c r="N74" s="145"/>
    </row>
    <row r="75" spans="1:14" s="127" customFormat="1" ht="15" customHeight="1">
      <c r="A75" s="334" t="s">
        <v>140</v>
      </c>
      <c r="B75" s="125" t="s">
        <v>1367</v>
      </c>
      <c r="C75" s="150" t="s">
        <v>1367</v>
      </c>
      <c r="D75" s="157" t="s">
        <v>78</v>
      </c>
      <c r="E75" s="256" t="s">
        <v>142</v>
      </c>
      <c r="F75" s="125" t="s">
        <v>80</v>
      </c>
      <c r="G75" s="140" t="s">
        <v>143</v>
      </c>
      <c r="H75" s="140" t="s">
        <v>144</v>
      </c>
      <c r="I75" s="140" t="s">
        <v>145</v>
      </c>
      <c r="J75" s="251">
        <v>4501592627</v>
      </c>
      <c r="K75" s="140" t="s">
        <v>146</v>
      </c>
      <c r="L75" s="253">
        <v>45855</v>
      </c>
      <c r="M75" s="140"/>
      <c r="N75" s="140"/>
    </row>
    <row r="76" spans="1:14" ht="15" hidden="1" customHeight="1">
      <c r="A76" s="125" t="s">
        <v>236</v>
      </c>
      <c r="B76" s="142" t="s">
        <v>233</v>
      </c>
      <c r="C76" s="125" t="s">
        <v>234</v>
      </c>
      <c r="D76" s="143" t="s">
        <v>160</v>
      </c>
      <c r="E76" s="144">
        <v>1000000679</v>
      </c>
      <c r="G76" s="145" t="s">
        <v>84</v>
      </c>
      <c r="H76" s="146" t="s">
        <v>237</v>
      </c>
      <c r="I76" s="145"/>
      <c r="J76" s="145"/>
      <c r="K76" s="145"/>
      <c r="L76" s="145"/>
      <c r="M76" s="145"/>
      <c r="N76" s="145"/>
    </row>
    <row r="77" spans="1:14" s="127" customFormat="1" ht="15" hidden="1" customHeight="1">
      <c r="A77" s="126" t="s">
        <v>443</v>
      </c>
      <c r="B77" s="231" t="s">
        <v>407</v>
      </c>
      <c r="C77" s="126" t="s">
        <v>444</v>
      </c>
      <c r="D77" s="209" t="s">
        <v>377</v>
      </c>
      <c r="E77" s="182">
        <v>1000000680</v>
      </c>
      <c r="F77" s="125"/>
      <c r="G77" s="183" t="s">
        <v>84</v>
      </c>
      <c r="H77" s="186" t="s">
        <v>445</v>
      </c>
      <c r="I77" s="183"/>
      <c r="J77" s="183"/>
      <c r="K77" s="183"/>
      <c r="L77" s="145"/>
      <c r="M77" s="183"/>
      <c r="N77" s="183"/>
    </row>
    <row r="78" spans="1:14" s="127" customFormat="1" ht="15" hidden="1" customHeight="1">
      <c r="A78" s="125" t="s">
        <v>836</v>
      </c>
      <c r="B78" s="142"/>
      <c r="C78" s="125" t="s">
        <v>837</v>
      </c>
      <c r="D78" s="151"/>
      <c r="E78" s="144">
        <v>1000000681</v>
      </c>
      <c r="F78" s="125"/>
      <c r="G78" s="145" t="s">
        <v>84</v>
      </c>
      <c r="H78" s="164" t="s">
        <v>838</v>
      </c>
      <c r="I78" s="125"/>
      <c r="J78" s="125"/>
      <c r="K78" s="125"/>
      <c r="L78" s="125"/>
      <c r="M78" s="125"/>
      <c r="N78" s="125"/>
    </row>
    <row r="79" spans="1:14" s="127" customFormat="1" ht="15" hidden="1" customHeight="1">
      <c r="A79" s="125" t="s">
        <v>839</v>
      </c>
      <c r="B79" s="142"/>
      <c r="C79" s="125" t="s">
        <v>840</v>
      </c>
      <c r="D79" s="151"/>
      <c r="E79" s="144">
        <v>1000000682</v>
      </c>
      <c r="F79" s="125"/>
      <c r="G79" s="145" t="s">
        <v>84</v>
      </c>
      <c r="H79" s="164" t="s">
        <v>841</v>
      </c>
      <c r="I79" s="125"/>
      <c r="J79" s="125"/>
      <c r="K79" s="125"/>
      <c r="L79" s="125"/>
      <c r="M79" s="125"/>
      <c r="N79" s="125"/>
    </row>
    <row r="80" spans="1:14" s="127" customFormat="1" ht="15" hidden="1" customHeight="1">
      <c r="A80" s="125" t="s">
        <v>654</v>
      </c>
      <c r="B80" s="142" t="s">
        <v>596</v>
      </c>
      <c r="C80" s="125" t="s">
        <v>597</v>
      </c>
      <c r="D80" s="151" t="s">
        <v>150</v>
      </c>
      <c r="E80" s="144">
        <v>1000000683</v>
      </c>
      <c r="F80" s="125"/>
      <c r="G80" s="145" t="s">
        <v>84</v>
      </c>
      <c r="H80" s="146" t="s">
        <v>655</v>
      </c>
      <c r="I80" s="145"/>
      <c r="J80" s="145"/>
      <c r="K80" s="145"/>
      <c r="L80" s="145"/>
      <c r="M80" s="145"/>
      <c r="N80" s="145"/>
    </row>
    <row r="81" spans="1:14" s="127" customFormat="1" ht="15" hidden="1" customHeight="1">
      <c r="A81" s="125" t="s">
        <v>842</v>
      </c>
      <c r="B81" s="142" t="s">
        <v>843</v>
      </c>
      <c r="C81" s="125" t="s">
        <v>844</v>
      </c>
      <c r="D81" s="143"/>
      <c r="E81" s="144">
        <v>1000000684</v>
      </c>
      <c r="F81" s="125"/>
      <c r="G81" s="145" t="s">
        <v>84</v>
      </c>
      <c r="H81" s="146" t="s">
        <v>845</v>
      </c>
      <c r="I81" s="145"/>
      <c r="J81" s="145"/>
      <c r="K81" s="145"/>
      <c r="L81" s="145"/>
      <c r="M81" s="145"/>
      <c r="N81" s="145"/>
    </row>
    <row r="82" spans="1:14" s="127" customFormat="1" ht="15" hidden="1" customHeight="1">
      <c r="A82" s="125" t="s">
        <v>762</v>
      </c>
      <c r="B82" s="125" t="s">
        <v>148</v>
      </c>
      <c r="C82" s="125" t="s">
        <v>763</v>
      </c>
      <c r="D82" s="128" t="s">
        <v>679</v>
      </c>
      <c r="E82" s="129">
        <v>1000000726</v>
      </c>
      <c r="F82" s="125" t="s">
        <v>764</v>
      </c>
      <c r="G82" s="125" t="s">
        <v>152</v>
      </c>
      <c r="H82" s="125" t="s">
        <v>765</v>
      </c>
      <c r="I82" s="125"/>
      <c r="J82" s="125"/>
      <c r="K82" s="125"/>
      <c r="L82" s="125"/>
      <c r="M82" s="125" t="s">
        <v>722</v>
      </c>
      <c r="N82" s="125" t="s">
        <v>766</v>
      </c>
    </row>
    <row r="83" spans="1:14" s="127" customFormat="1" ht="15" hidden="1" customHeight="1">
      <c r="A83" s="125" t="s">
        <v>540</v>
      </c>
      <c r="B83" s="142" t="s">
        <v>468</v>
      </c>
      <c r="C83" s="142" t="s">
        <v>468</v>
      </c>
      <c r="D83" s="151" t="s">
        <v>427</v>
      </c>
      <c r="E83" s="144">
        <v>1000000767</v>
      </c>
      <c r="F83" s="125"/>
      <c r="G83" s="145" t="s">
        <v>84</v>
      </c>
      <c r="H83" s="146" t="s">
        <v>541</v>
      </c>
      <c r="I83" s="145"/>
      <c r="J83" s="145"/>
      <c r="K83" s="145"/>
      <c r="L83" s="145"/>
      <c r="M83" s="145"/>
      <c r="N83" s="145"/>
    </row>
    <row r="84" spans="1:14" s="127" customFormat="1" ht="15" hidden="1" customHeight="1">
      <c r="A84" s="125" t="s">
        <v>542</v>
      </c>
      <c r="B84" s="142" t="s">
        <v>468</v>
      </c>
      <c r="C84" s="142" t="s">
        <v>468</v>
      </c>
      <c r="D84" s="151" t="s">
        <v>427</v>
      </c>
      <c r="E84" s="144">
        <v>1000000768</v>
      </c>
      <c r="F84" s="125"/>
      <c r="G84" s="145" t="s">
        <v>84</v>
      </c>
      <c r="H84" s="146" t="s">
        <v>541</v>
      </c>
      <c r="I84" s="145"/>
      <c r="J84" s="145"/>
      <c r="K84" s="145"/>
      <c r="L84" s="145"/>
      <c r="M84" s="145"/>
      <c r="N84" s="145"/>
    </row>
    <row r="85" spans="1:14" s="127" customFormat="1" ht="15" hidden="1" customHeight="1">
      <c r="A85" s="125" t="s">
        <v>685</v>
      </c>
      <c r="B85" s="142" t="s">
        <v>660</v>
      </c>
      <c r="C85" s="125" t="s">
        <v>686</v>
      </c>
      <c r="D85" s="143" t="s">
        <v>644</v>
      </c>
      <c r="E85" s="144">
        <v>1000000898</v>
      </c>
      <c r="F85" s="125"/>
      <c r="G85" s="145" t="s">
        <v>84</v>
      </c>
      <c r="H85" s="146" t="s">
        <v>687</v>
      </c>
      <c r="I85" s="145"/>
      <c r="J85" s="145"/>
      <c r="K85" s="145"/>
      <c r="L85" s="145"/>
      <c r="M85" s="145"/>
      <c r="N85" s="145"/>
    </row>
    <row r="86" spans="1:14" s="127" customFormat="1" ht="15" hidden="1" customHeight="1">
      <c r="A86" s="125" t="s">
        <v>688</v>
      </c>
      <c r="B86" s="142" t="s">
        <v>660</v>
      </c>
      <c r="C86" s="125" t="s">
        <v>686</v>
      </c>
      <c r="D86" s="143" t="s">
        <v>644</v>
      </c>
      <c r="E86" s="144">
        <v>1000000899</v>
      </c>
      <c r="F86" s="125"/>
      <c r="G86" s="145" t="s">
        <v>84</v>
      </c>
      <c r="H86" s="146" t="s">
        <v>689</v>
      </c>
      <c r="I86" s="145"/>
      <c r="J86" s="145"/>
      <c r="K86" s="145"/>
      <c r="L86" s="145"/>
      <c r="M86" s="145"/>
      <c r="N86" s="145"/>
    </row>
    <row r="87" spans="1:14" s="127" customFormat="1" ht="15" hidden="1" customHeight="1">
      <c r="A87" s="125" t="s">
        <v>392</v>
      </c>
      <c r="B87" s="142" t="s">
        <v>278</v>
      </c>
      <c r="C87" s="125" t="s">
        <v>393</v>
      </c>
      <c r="D87" s="143" t="s">
        <v>227</v>
      </c>
      <c r="E87" s="144">
        <v>1000000900</v>
      </c>
      <c r="F87" s="125"/>
      <c r="G87" s="145" t="s">
        <v>84</v>
      </c>
      <c r="H87" s="146" t="s">
        <v>394</v>
      </c>
      <c r="I87" s="145"/>
      <c r="J87" s="145"/>
      <c r="K87" s="145"/>
      <c r="L87" s="145"/>
      <c r="M87" s="145"/>
      <c r="N87" s="145"/>
    </row>
    <row r="88" spans="1:14" s="127" customFormat="1" ht="15" hidden="1" customHeight="1">
      <c r="A88" s="140" t="s">
        <v>690</v>
      </c>
      <c r="B88" s="156" t="s">
        <v>665</v>
      </c>
      <c r="C88" s="140" t="s">
        <v>691</v>
      </c>
      <c r="D88" s="157" t="s">
        <v>644</v>
      </c>
      <c r="E88" s="174">
        <v>1000000901</v>
      </c>
      <c r="F88" s="140"/>
      <c r="G88" s="175" t="s">
        <v>84</v>
      </c>
      <c r="H88" s="177" t="s">
        <v>692</v>
      </c>
      <c r="I88" s="175"/>
      <c r="J88" s="175"/>
      <c r="K88" s="175"/>
      <c r="L88" s="175"/>
      <c r="M88" s="175"/>
      <c r="N88" s="175"/>
    </row>
    <row r="89" spans="1:14" ht="15" hidden="1" customHeight="1">
      <c r="A89" s="125" t="s">
        <v>789</v>
      </c>
      <c r="B89" s="139" t="s">
        <v>758</v>
      </c>
      <c r="C89" s="125" t="s">
        <v>790</v>
      </c>
      <c r="D89" s="143" t="s">
        <v>627</v>
      </c>
      <c r="E89" s="144">
        <v>1000000902</v>
      </c>
      <c r="G89" s="145" t="s">
        <v>84</v>
      </c>
      <c r="H89" s="146" t="s">
        <v>791</v>
      </c>
      <c r="I89" s="145"/>
      <c r="J89" s="145"/>
      <c r="K89" s="145"/>
      <c r="L89" s="145"/>
      <c r="M89" s="145"/>
      <c r="N89" s="145"/>
    </row>
    <row r="90" spans="1:14" s="127" customFormat="1" ht="15" hidden="1" customHeight="1">
      <c r="A90" s="126" t="s">
        <v>792</v>
      </c>
      <c r="B90" s="189" t="s">
        <v>758</v>
      </c>
      <c r="C90" s="126" t="s">
        <v>790</v>
      </c>
      <c r="D90" s="173" t="s">
        <v>627</v>
      </c>
      <c r="E90" s="182">
        <v>1000000903</v>
      </c>
      <c r="F90" s="126"/>
      <c r="G90" s="183" t="s">
        <v>84</v>
      </c>
      <c r="H90" s="186" t="s">
        <v>791</v>
      </c>
      <c r="I90" s="183"/>
      <c r="J90" s="183"/>
      <c r="K90" s="183"/>
      <c r="L90" s="183"/>
      <c r="M90" s="183"/>
      <c r="N90" s="183"/>
    </row>
    <row r="91" spans="1:14" s="127" customFormat="1" ht="15" hidden="1" customHeight="1">
      <c r="A91" s="125" t="s">
        <v>693</v>
      </c>
      <c r="B91" s="142" t="s">
        <v>642</v>
      </c>
      <c r="C91" s="125" t="s">
        <v>683</v>
      </c>
      <c r="D91" s="143" t="s">
        <v>644</v>
      </c>
      <c r="E91" s="144">
        <v>1000000904</v>
      </c>
      <c r="F91" s="125"/>
      <c r="G91" s="145" t="s">
        <v>84</v>
      </c>
      <c r="H91" s="146" t="s">
        <v>694</v>
      </c>
      <c r="I91" s="145"/>
      <c r="J91" s="145"/>
      <c r="K91" s="145"/>
      <c r="L91" s="145"/>
      <c r="M91" s="145"/>
      <c r="N91" s="145"/>
    </row>
    <row r="92" spans="1:14" s="127" customFormat="1" ht="15" hidden="1" customHeight="1">
      <c r="A92" s="125" t="s">
        <v>395</v>
      </c>
      <c r="B92" s="231" t="s">
        <v>278</v>
      </c>
      <c r="C92" s="125" t="s">
        <v>393</v>
      </c>
      <c r="D92" s="143" t="s">
        <v>227</v>
      </c>
      <c r="E92" s="144">
        <v>1000000905</v>
      </c>
      <c r="F92" s="125"/>
      <c r="G92" s="145" t="s">
        <v>84</v>
      </c>
      <c r="H92" s="146" t="s">
        <v>394</v>
      </c>
      <c r="I92" s="145"/>
      <c r="J92" s="145"/>
      <c r="K92" s="145"/>
      <c r="L92" s="145"/>
      <c r="M92" s="145"/>
      <c r="N92" s="145"/>
    </row>
    <row r="93" spans="1:14" s="127" customFormat="1" ht="15" hidden="1" customHeight="1">
      <c r="A93" s="125" t="s">
        <v>695</v>
      </c>
      <c r="B93" s="142" t="s">
        <v>665</v>
      </c>
      <c r="C93" s="125" t="s">
        <v>691</v>
      </c>
      <c r="D93" s="143" t="s">
        <v>644</v>
      </c>
      <c r="E93" s="144">
        <v>1000000906</v>
      </c>
      <c r="F93" s="125"/>
      <c r="G93" s="145" t="s">
        <v>84</v>
      </c>
      <c r="H93" s="146" t="s">
        <v>692</v>
      </c>
      <c r="I93" s="145"/>
      <c r="J93" s="145"/>
      <c r="K93" s="145"/>
      <c r="L93" s="145"/>
      <c r="M93" s="145"/>
      <c r="N93" s="145"/>
    </row>
    <row r="94" spans="1:14" s="127" customFormat="1" ht="15" hidden="1" customHeight="1">
      <c r="A94" s="125" t="s">
        <v>846</v>
      </c>
      <c r="B94" s="142"/>
      <c r="C94" s="125"/>
      <c r="D94" s="151"/>
      <c r="E94" s="144">
        <v>1000000907</v>
      </c>
      <c r="F94" s="125"/>
      <c r="G94" s="145" t="s">
        <v>84</v>
      </c>
      <c r="H94" s="146" t="s">
        <v>847</v>
      </c>
      <c r="I94" s="145"/>
      <c r="J94" s="145"/>
      <c r="K94" s="145"/>
      <c r="L94" s="145"/>
      <c r="M94" s="145"/>
      <c r="N94" s="145"/>
    </row>
    <row r="95" spans="1:14" s="127" customFormat="1" ht="15" hidden="1" customHeight="1">
      <c r="A95" s="125" t="s">
        <v>737</v>
      </c>
      <c r="B95" s="142" t="s">
        <v>701</v>
      </c>
      <c r="C95" s="125" t="s">
        <v>701</v>
      </c>
      <c r="D95" s="143" t="s">
        <v>679</v>
      </c>
      <c r="E95" s="144">
        <v>1000000944</v>
      </c>
      <c r="F95" s="125"/>
      <c r="G95" s="145" t="s">
        <v>84</v>
      </c>
      <c r="H95" s="146" t="s">
        <v>738</v>
      </c>
      <c r="I95" s="145"/>
      <c r="J95" s="145"/>
      <c r="K95" s="145"/>
      <c r="L95" s="145"/>
      <c r="M95" s="145"/>
      <c r="N95" s="145"/>
    </row>
    <row r="96" spans="1:14" s="127" customFormat="1" ht="15" hidden="1" customHeight="1">
      <c r="A96" s="125" t="s">
        <v>526</v>
      </c>
      <c r="B96" s="125" t="s">
        <v>456</v>
      </c>
      <c r="C96" s="125" t="s">
        <v>456</v>
      </c>
      <c r="D96" s="143" t="s">
        <v>427</v>
      </c>
      <c r="E96" s="144">
        <v>1000000945</v>
      </c>
      <c r="F96" s="125"/>
      <c r="G96" s="145" t="s">
        <v>84</v>
      </c>
      <c r="H96" s="146" t="s">
        <v>527</v>
      </c>
      <c r="I96" s="145"/>
      <c r="J96" s="145"/>
      <c r="K96" s="145"/>
      <c r="L96" s="145"/>
      <c r="M96" s="145"/>
      <c r="N96" s="145"/>
    </row>
    <row r="97" spans="1:14" s="127" customFormat="1" ht="15" hidden="1" customHeight="1">
      <c r="A97" s="125" t="s">
        <v>656</v>
      </c>
      <c r="B97" s="142" t="s">
        <v>582</v>
      </c>
      <c r="C97" s="139" t="s">
        <v>583</v>
      </c>
      <c r="D97" s="151" t="s">
        <v>150</v>
      </c>
      <c r="E97" s="144">
        <v>1000000946</v>
      </c>
      <c r="F97" s="125" t="str">
        <f>C97</f>
        <v>ThaiyaiJ</v>
      </c>
      <c r="G97" s="145" t="s">
        <v>84</v>
      </c>
      <c r="H97" s="146" t="s">
        <v>657</v>
      </c>
      <c r="I97" s="145"/>
      <c r="J97" s="145"/>
      <c r="K97" s="145"/>
      <c r="L97" s="145"/>
      <c r="M97" s="145"/>
      <c r="N97" s="145"/>
    </row>
    <row r="98" spans="1:14" s="127" customFormat="1" ht="15" hidden="1" customHeight="1">
      <c r="A98" s="125" t="s">
        <v>658</v>
      </c>
      <c r="B98" s="142" t="s">
        <v>582</v>
      </c>
      <c r="C98" s="139" t="s">
        <v>583</v>
      </c>
      <c r="D98" s="151" t="s">
        <v>150</v>
      </c>
      <c r="E98" s="144">
        <v>1000000947</v>
      </c>
      <c r="F98" s="125" t="str">
        <f>C98</f>
        <v>ThaiyaiJ</v>
      </c>
      <c r="G98" s="145" t="s">
        <v>84</v>
      </c>
      <c r="H98" s="146" t="s">
        <v>657</v>
      </c>
      <c r="I98" s="145"/>
      <c r="J98" s="145"/>
      <c r="K98" s="145"/>
      <c r="L98" s="145"/>
      <c r="M98" s="145"/>
      <c r="N98" s="145"/>
    </row>
    <row r="99" spans="1:14" s="127" customFormat="1" ht="15" hidden="1" customHeight="1">
      <c r="A99" s="125" t="s">
        <v>446</v>
      </c>
      <c r="B99" s="142" t="s">
        <v>407</v>
      </c>
      <c r="C99" s="125" t="s">
        <v>447</v>
      </c>
      <c r="D99" s="151" t="s">
        <v>377</v>
      </c>
      <c r="E99" s="144">
        <v>1000000948</v>
      </c>
      <c r="F99" s="125"/>
      <c r="G99" s="145" t="s">
        <v>84</v>
      </c>
      <c r="H99" s="146" t="s">
        <v>448</v>
      </c>
      <c r="I99" s="145"/>
      <c r="J99" s="145"/>
      <c r="K99" s="145"/>
      <c r="L99" s="145"/>
      <c r="M99" s="145"/>
      <c r="N99" s="145"/>
    </row>
    <row r="100" spans="1:14" s="127" customFormat="1" ht="15" customHeight="1">
      <c r="A100" s="188" t="s">
        <v>1366</v>
      </c>
      <c r="B100" s="142" t="s">
        <v>1365</v>
      </c>
      <c r="C100" s="150" t="s">
        <v>141</v>
      </c>
      <c r="D100" s="151" t="s">
        <v>78</v>
      </c>
      <c r="E100" s="148" t="s">
        <v>1372</v>
      </c>
      <c r="F100" s="125" t="s">
        <v>80</v>
      </c>
      <c r="G100" s="125" t="s">
        <v>143</v>
      </c>
      <c r="H100" s="154" t="s">
        <v>1368</v>
      </c>
      <c r="I100" s="125" t="s">
        <v>1369</v>
      </c>
      <c r="J100" s="163" t="s">
        <v>1370</v>
      </c>
      <c r="K100" s="125"/>
      <c r="L100" s="149">
        <v>45898</v>
      </c>
      <c r="M100" s="125"/>
      <c r="N100" s="125"/>
    </row>
    <row r="101" spans="1:14" s="127" customFormat="1" ht="15" hidden="1" customHeight="1">
      <c r="A101" s="283" t="s">
        <v>157</v>
      </c>
      <c r="B101" s="297" t="s">
        <v>543</v>
      </c>
      <c r="C101" s="283" t="s">
        <v>159</v>
      </c>
      <c r="D101" s="287" t="s">
        <v>160</v>
      </c>
      <c r="E101" s="283" t="s">
        <v>161</v>
      </c>
      <c r="F101" s="283" t="s">
        <v>159</v>
      </c>
      <c r="G101" s="283" t="s">
        <v>18</v>
      </c>
      <c r="H101" s="283" t="s">
        <v>26</v>
      </c>
      <c r="I101" s="283" t="s">
        <v>162</v>
      </c>
      <c r="J101" s="283" t="s">
        <v>163</v>
      </c>
      <c r="K101" s="283"/>
      <c r="L101" s="288" t="s">
        <v>164</v>
      </c>
      <c r="M101" s="289">
        <v>46079</v>
      </c>
      <c r="N101" s="289"/>
    </row>
    <row r="102" spans="1:14" s="127" customFormat="1" ht="15" hidden="1" customHeight="1">
      <c r="A102" s="283" t="s">
        <v>13</v>
      </c>
      <c r="B102" s="283" t="s">
        <v>14</v>
      </c>
      <c r="C102" s="283" t="s">
        <v>15</v>
      </c>
      <c r="D102" s="287" t="s">
        <v>16</v>
      </c>
      <c r="E102" s="283" t="s">
        <v>17</v>
      </c>
      <c r="F102" s="283" t="s">
        <v>15</v>
      </c>
      <c r="G102" s="283" t="s">
        <v>18</v>
      </c>
      <c r="H102" s="283" t="s">
        <v>19</v>
      </c>
      <c r="I102" s="283" t="s">
        <v>20</v>
      </c>
      <c r="J102" s="290" t="s">
        <v>21</v>
      </c>
      <c r="K102" s="290"/>
      <c r="L102" s="291">
        <v>43149</v>
      </c>
      <c r="M102" s="289">
        <v>44980</v>
      </c>
      <c r="N102" s="289"/>
    </row>
    <row r="103" spans="1:14" s="127" customFormat="1" ht="15" customHeight="1">
      <c r="A103" s="188" t="s">
        <v>76</v>
      </c>
      <c r="B103" s="142" t="s">
        <v>77</v>
      </c>
      <c r="C103" s="336" t="s">
        <v>77</v>
      </c>
      <c r="D103" s="151" t="s">
        <v>78</v>
      </c>
      <c r="E103" s="125" t="s">
        <v>79</v>
      </c>
      <c r="F103" s="125" t="s">
        <v>80</v>
      </c>
      <c r="G103" s="125" t="s">
        <v>81</v>
      </c>
      <c r="H103" s="154"/>
      <c r="I103" s="125"/>
      <c r="J103" s="125"/>
      <c r="K103" s="125"/>
      <c r="L103" s="125"/>
      <c r="M103" s="125"/>
      <c r="N103" s="125"/>
    </row>
    <row r="104" spans="1:14" s="127" customFormat="1" ht="15" hidden="1" customHeight="1">
      <c r="A104" s="125" t="s">
        <v>238</v>
      </c>
      <c r="B104" s="125" t="s">
        <v>215</v>
      </c>
      <c r="C104" s="125" t="s">
        <v>239</v>
      </c>
      <c r="D104" s="143" t="s">
        <v>160</v>
      </c>
      <c r="E104" s="144">
        <v>1000001002</v>
      </c>
      <c r="F104" s="125"/>
      <c r="G104" s="145" t="s">
        <v>84</v>
      </c>
      <c r="H104" s="146" t="s">
        <v>240</v>
      </c>
      <c r="I104" s="145"/>
      <c r="J104" s="145"/>
      <c r="K104" s="145"/>
      <c r="L104" s="145"/>
      <c r="M104" s="145"/>
      <c r="N104" s="145"/>
    </row>
    <row r="105" spans="1:14" s="155" customFormat="1" ht="15" hidden="1" customHeight="1">
      <c r="A105" s="125" t="s">
        <v>241</v>
      </c>
      <c r="B105" s="125" t="s">
        <v>215</v>
      </c>
      <c r="C105" s="125" t="s">
        <v>239</v>
      </c>
      <c r="D105" s="143" t="s">
        <v>160</v>
      </c>
      <c r="E105" s="144">
        <v>1000001003</v>
      </c>
      <c r="F105" s="125"/>
      <c r="G105" s="145" t="s">
        <v>84</v>
      </c>
      <c r="H105" s="146" t="s">
        <v>240</v>
      </c>
      <c r="I105" s="145"/>
      <c r="J105" s="145"/>
      <c r="K105" s="145"/>
      <c r="L105" s="145"/>
      <c r="M105" s="145"/>
      <c r="N105" s="145"/>
    </row>
    <row r="106" spans="1:14" s="127" customFormat="1" ht="15" hidden="1" customHeight="1">
      <c r="A106" s="140" t="s">
        <v>396</v>
      </c>
      <c r="B106" s="156"/>
      <c r="C106" s="140" t="s">
        <v>397</v>
      </c>
      <c r="D106" s="157" t="s">
        <v>227</v>
      </c>
      <c r="E106" s="174">
        <v>1000001004</v>
      </c>
      <c r="F106" s="140"/>
      <c r="G106" s="175" t="s">
        <v>84</v>
      </c>
      <c r="H106" s="146" t="s">
        <v>398</v>
      </c>
      <c r="I106" s="145"/>
      <c r="J106" s="145"/>
      <c r="K106" s="145"/>
      <c r="L106" s="145"/>
      <c r="M106" s="145"/>
      <c r="N106" s="145"/>
    </row>
    <row r="107" spans="1:14" s="127" customFormat="1" ht="15" hidden="1" customHeight="1">
      <c r="A107" s="125" t="s">
        <v>399</v>
      </c>
      <c r="B107" s="156"/>
      <c r="C107" s="140" t="s">
        <v>397</v>
      </c>
      <c r="D107" s="143" t="s">
        <v>227</v>
      </c>
      <c r="E107" s="144">
        <v>1000001005</v>
      </c>
      <c r="F107" s="125"/>
      <c r="G107" s="145" t="s">
        <v>84</v>
      </c>
      <c r="H107" s="184" t="s">
        <v>398</v>
      </c>
      <c r="I107" s="145"/>
      <c r="J107" s="145"/>
      <c r="K107" s="145"/>
      <c r="L107" s="145"/>
      <c r="M107" s="145"/>
      <c r="N107" s="145"/>
    </row>
    <row r="108" spans="1:14" s="127" customFormat="1" ht="15" hidden="1" customHeight="1">
      <c r="A108" s="140" t="s">
        <v>191</v>
      </c>
      <c r="B108" s="262" t="s">
        <v>1377</v>
      </c>
      <c r="C108" s="262" t="s">
        <v>1377</v>
      </c>
      <c r="D108" s="169" t="s">
        <v>78</v>
      </c>
      <c r="E108" s="174">
        <v>1000000082</v>
      </c>
      <c r="F108" s="140"/>
      <c r="G108" s="175" t="s">
        <v>84</v>
      </c>
      <c r="H108" s="236" t="s">
        <v>192</v>
      </c>
      <c r="I108" s="145"/>
      <c r="J108" s="145"/>
      <c r="K108" s="145"/>
      <c r="L108" s="145"/>
      <c r="M108" s="145"/>
      <c r="N108" s="145"/>
    </row>
    <row r="109" spans="1:14" s="127" customFormat="1" ht="15" hidden="1" customHeight="1">
      <c r="A109" s="125" t="s">
        <v>92</v>
      </c>
      <c r="B109" s="125" t="s">
        <v>93</v>
      </c>
      <c r="C109" s="125" t="s">
        <v>93</v>
      </c>
      <c r="D109" s="151" t="s">
        <v>16</v>
      </c>
      <c r="E109" s="144">
        <v>1000001021</v>
      </c>
      <c r="F109" s="125"/>
      <c r="G109" s="145" t="s">
        <v>84</v>
      </c>
      <c r="H109" s="184" t="s">
        <v>94</v>
      </c>
      <c r="I109" s="125"/>
      <c r="J109" s="125"/>
      <c r="K109" s="125"/>
      <c r="L109" s="125"/>
      <c r="M109" s="125"/>
      <c r="N109" s="125"/>
    </row>
    <row r="110" spans="1:14" s="127" customFormat="1" ht="15" hidden="1" customHeight="1">
      <c r="A110" s="125" t="s">
        <v>169</v>
      </c>
      <c r="B110" s="142" t="s">
        <v>104</v>
      </c>
      <c r="C110" s="142" t="s">
        <v>104</v>
      </c>
      <c r="D110" s="143" t="s">
        <v>78</v>
      </c>
      <c r="E110" s="144">
        <v>1000000128</v>
      </c>
      <c r="F110" s="125"/>
      <c r="G110" s="145" t="s">
        <v>84</v>
      </c>
      <c r="H110" s="184" t="s">
        <v>170</v>
      </c>
      <c r="I110" s="145"/>
      <c r="J110" s="145"/>
      <c r="K110" s="145"/>
      <c r="L110" s="145"/>
      <c r="M110" s="145"/>
      <c r="N110" s="145"/>
    </row>
    <row r="111" spans="1:14" s="127" customFormat="1" ht="15" hidden="1" customHeight="1">
      <c r="A111" s="125" t="s">
        <v>147</v>
      </c>
      <c r="B111" s="140" t="s">
        <v>148</v>
      </c>
      <c r="C111" s="140" t="s">
        <v>149</v>
      </c>
      <c r="D111" s="128" t="s">
        <v>150</v>
      </c>
      <c r="E111" s="129" t="s">
        <v>151</v>
      </c>
      <c r="F111" s="125" t="s">
        <v>149</v>
      </c>
      <c r="G111" s="125" t="s">
        <v>152</v>
      </c>
      <c r="H111" s="150" t="s">
        <v>153</v>
      </c>
      <c r="I111" s="125" t="s">
        <v>154</v>
      </c>
      <c r="J111" s="129" t="s">
        <v>155</v>
      </c>
      <c r="K111" s="129"/>
      <c r="L111" s="130">
        <v>43313</v>
      </c>
      <c r="M111" s="125" t="s">
        <v>156</v>
      </c>
      <c r="N111" s="125"/>
    </row>
    <row r="112" spans="1:14" s="127" customFormat="1" ht="15" hidden="1" customHeight="1">
      <c r="A112" s="241" t="s">
        <v>498</v>
      </c>
      <c r="B112" s="125" t="s">
        <v>148</v>
      </c>
      <c r="C112" s="137" t="s">
        <v>499</v>
      </c>
      <c r="D112" s="160" t="s">
        <v>427</v>
      </c>
      <c r="E112" s="137" t="s">
        <v>500</v>
      </c>
      <c r="F112" s="137" t="s">
        <v>501</v>
      </c>
      <c r="G112" s="138" t="s">
        <v>152</v>
      </c>
      <c r="H112" s="249" t="s">
        <v>502</v>
      </c>
      <c r="I112" s="125"/>
      <c r="J112" s="137" t="s">
        <v>503</v>
      </c>
      <c r="K112" s="137"/>
      <c r="L112" s="125"/>
      <c r="M112" s="125"/>
      <c r="N112" s="125"/>
    </row>
    <row r="113" spans="1:14" s="127" customFormat="1" ht="15" hidden="1" customHeight="1">
      <c r="A113" s="188" t="s">
        <v>625</v>
      </c>
      <c r="B113" s="125" t="s">
        <v>148</v>
      </c>
      <c r="C113" s="125" t="s">
        <v>626</v>
      </c>
      <c r="D113" s="160" t="s">
        <v>627</v>
      </c>
      <c r="E113" s="129" t="s">
        <v>628</v>
      </c>
      <c r="F113" s="125" t="s">
        <v>629</v>
      </c>
      <c r="G113" s="125" t="s">
        <v>152</v>
      </c>
      <c r="H113" s="150" t="s">
        <v>617</v>
      </c>
      <c r="I113" s="125" t="s">
        <v>630</v>
      </c>
      <c r="J113" s="129" t="s">
        <v>631</v>
      </c>
      <c r="K113" s="129"/>
      <c r="L113" s="130">
        <v>43238</v>
      </c>
      <c r="M113" s="125" t="s">
        <v>632</v>
      </c>
      <c r="N113" s="125"/>
    </row>
    <row r="114" spans="1:14" s="127" customFormat="1" ht="15" hidden="1" customHeight="1">
      <c r="A114" s="125" t="s">
        <v>717</v>
      </c>
      <c r="B114" s="126" t="s">
        <v>148</v>
      </c>
      <c r="C114" s="126" t="s">
        <v>105</v>
      </c>
      <c r="D114" s="128" t="s">
        <v>511</v>
      </c>
      <c r="E114" s="129" t="s">
        <v>718</v>
      </c>
      <c r="F114" s="125" t="s">
        <v>719</v>
      </c>
      <c r="G114" s="125" t="s">
        <v>152</v>
      </c>
      <c r="H114" s="150" t="s">
        <v>720</v>
      </c>
      <c r="I114" s="125"/>
      <c r="J114" s="129" t="s">
        <v>721</v>
      </c>
      <c r="K114" s="129"/>
      <c r="L114" s="130">
        <v>43850</v>
      </c>
      <c r="M114" s="125" t="s">
        <v>722</v>
      </c>
      <c r="N114" s="125"/>
    </row>
    <row r="115" spans="1:14" s="127" customFormat="1" ht="15" hidden="1" customHeight="1">
      <c r="A115" s="137" t="s">
        <v>504</v>
      </c>
      <c r="B115" s="125" t="s">
        <v>148</v>
      </c>
      <c r="C115" s="137" t="s">
        <v>505</v>
      </c>
      <c r="D115" s="128" t="s">
        <v>427</v>
      </c>
      <c r="E115" s="255" t="s">
        <v>506</v>
      </c>
      <c r="F115" s="137" t="s">
        <v>507</v>
      </c>
      <c r="G115" s="138" t="s">
        <v>152</v>
      </c>
      <c r="H115" s="249" t="s">
        <v>508</v>
      </c>
      <c r="I115" s="125"/>
      <c r="J115" s="137" t="s">
        <v>501</v>
      </c>
      <c r="K115" s="137"/>
      <c r="L115" s="125"/>
      <c r="M115" s="125"/>
      <c r="N115" s="125"/>
    </row>
    <row r="116" spans="1:14" s="127" customFormat="1" ht="15" hidden="1" customHeight="1">
      <c r="A116" s="125" t="s">
        <v>171</v>
      </c>
      <c r="B116" s="142" t="s">
        <v>104</v>
      </c>
      <c r="C116" s="142" t="s">
        <v>104</v>
      </c>
      <c r="D116" s="143" t="s">
        <v>78</v>
      </c>
      <c r="E116" s="144">
        <v>1000000132</v>
      </c>
      <c r="F116" s="125"/>
      <c r="G116" s="145" t="s">
        <v>84</v>
      </c>
      <c r="H116" s="184" t="s">
        <v>172</v>
      </c>
      <c r="I116" s="145"/>
      <c r="J116" s="145"/>
      <c r="K116" s="145"/>
      <c r="L116" s="145"/>
      <c r="M116" s="145"/>
      <c r="N116" s="145"/>
    </row>
    <row r="117" spans="1:14" s="201" customFormat="1" ht="15" hidden="1" customHeight="1">
      <c r="A117" s="161" t="s">
        <v>610</v>
      </c>
      <c r="B117" s="161" t="s">
        <v>148</v>
      </c>
      <c r="C117" s="161" t="s">
        <v>149</v>
      </c>
      <c r="D117" s="233" t="s">
        <v>150</v>
      </c>
      <c r="E117" s="245" t="s">
        <v>611</v>
      </c>
      <c r="F117" s="140" t="s">
        <v>149</v>
      </c>
      <c r="G117" s="140" t="s">
        <v>152</v>
      </c>
      <c r="H117" s="127" t="s">
        <v>612</v>
      </c>
      <c r="I117" s="140" t="s">
        <v>613</v>
      </c>
      <c r="J117" s="141">
        <v>4501055196</v>
      </c>
      <c r="K117" s="141"/>
      <c r="L117" s="217">
        <v>44502</v>
      </c>
      <c r="M117" s="140" t="s">
        <v>614</v>
      </c>
      <c r="N117" s="140"/>
    </row>
    <row r="118" spans="1:14" s="127" customFormat="1" ht="15" hidden="1" customHeight="1">
      <c r="A118" s="200" t="s">
        <v>487</v>
      </c>
      <c r="B118" s="200" t="s">
        <v>148</v>
      </c>
      <c r="C118" s="200" t="s">
        <v>488</v>
      </c>
      <c r="D118" s="242" t="s">
        <v>427</v>
      </c>
      <c r="E118" s="248" t="s">
        <v>489</v>
      </c>
      <c r="F118" s="200" t="s">
        <v>490</v>
      </c>
      <c r="G118" s="200" t="s">
        <v>152</v>
      </c>
      <c r="H118" s="201" t="s">
        <v>491</v>
      </c>
      <c r="I118" s="200" t="s">
        <v>492</v>
      </c>
      <c r="J118" s="202">
        <v>4501056868</v>
      </c>
      <c r="K118" s="202"/>
      <c r="L118" s="203">
        <v>44502</v>
      </c>
      <c r="M118" s="200" t="s">
        <v>163</v>
      </c>
      <c r="N118" s="200" t="s">
        <v>493</v>
      </c>
    </row>
    <row r="119" spans="1:14" s="127" customFormat="1" ht="15" hidden="1" customHeight="1">
      <c r="A119" s="125" t="s">
        <v>793</v>
      </c>
      <c r="B119" s="125" t="s">
        <v>148</v>
      </c>
      <c r="C119" s="125" t="s">
        <v>794</v>
      </c>
      <c r="D119" s="128" t="s">
        <v>150</v>
      </c>
      <c r="E119" s="129" t="s">
        <v>795</v>
      </c>
      <c r="F119" s="125" t="s">
        <v>794</v>
      </c>
      <c r="G119" s="125" t="s">
        <v>152</v>
      </c>
      <c r="H119" s="125" t="s">
        <v>796</v>
      </c>
      <c r="I119" s="125"/>
      <c r="J119" s="129">
        <v>4501061522</v>
      </c>
      <c r="K119" s="129"/>
      <c r="L119" s="130">
        <v>44502</v>
      </c>
      <c r="M119" s="125" t="s">
        <v>797</v>
      </c>
      <c r="N119" s="125"/>
    </row>
    <row r="120" spans="1:14" s="127" customFormat="1" ht="15" hidden="1" customHeight="1">
      <c r="A120" s="292" t="s">
        <v>287</v>
      </c>
      <c r="B120" s="292" t="s">
        <v>288</v>
      </c>
      <c r="C120" s="292" t="s">
        <v>289</v>
      </c>
      <c r="D120" s="293" t="s">
        <v>259</v>
      </c>
      <c r="E120" s="292" t="s">
        <v>290</v>
      </c>
      <c r="F120" s="292" t="s">
        <v>291</v>
      </c>
      <c r="G120" s="292" t="s">
        <v>18</v>
      </c>
      <c r="H120" s="292" t="s">
        <v>19</v>
      </c>
      <c r="I120" s="292" t="s">
        <v>292</v>
      </c>
      <c r="J120" s="294" t="s">
        <v>293</v>
      </c>
      <c r="K120" s="294"/>
      <c r="L120" s="295">
        <v>43177</v>
      </c>
      <c r="M120" s="296">
        <v>45008</v>
      </c>
      <c r="N120" s="296"/>
    </row>
    <row r="121" spans="1:14" ht="15" hidden="1" customHeight="1">
      <c r="A121" s="283" t="s">
        <v>509</v>
      </c>
      <c r="B121" s="297" t="s">
        <v>543</v>
      </c>
      <c r="C121" s="283" t="s">
        <v>510</v>
      </c>
      <c r="D121" s="287" t="s">
        <v>511</v>
      </c>
      <c r="E121" s="284" t="s">
        <v>512</v>
      </c>
      <c r="F121" s="283" t="s">
        <v>513</v>
      </c>
      <c r="G121" s="283" t="s">
        <v>18</v>
      </c>
      <c r="H121" s="283" t="s">
        <v>26</v>
      </c>
      <c r="I121" s="283" t="s">
        <v>514</v>
      </c>
      <c r="J121" s="290" t="s">
        <v>515</v>
      </c>
      <c r="K121" s="290"/>
      <c r="L121" s="291">
        <v>43330</v>
      </c>
      <c r="M121" s="289">
        <v>45161</v>
      </c>
      <c r="N121" s="283"/>
    </row>
    <row r="122" spans="1:14" ht="15" hidden="1" customHeight="1">
      <c r="A122" s="283" t="s">
        <v>424</v>
      </c>
      <c r="B122" s="283" t="s">
        <v>425</v>
      </c>
      <c r="C122" s="283" t="s">
        <v>426</v>
      </c>
      <c r="D122" s="287" t="s">
        <v>427</v>
      </c>
      <c r="E122" s="283" t="s">
        <v>428</v>
      </c>
      <c r="F122" s="283" t="str">
        <f>C122</f>
        <v>ImsaiadJ</v>
      </c>
      <c r="G122" s="283" t="s">
        <v>18</v>
      </c>
      <c r="H122" s="283" t="s">
        <v>26</v>
      </c>
      <c r="I122" s="283" t="s">
        <v>429</v>
      </c>
      <c r="J122" s="290" t="s">
        <v>430</v>
      </c>
      <c r="K122" s="290"/>
      <c r="L122" s="291">
        <v>43330</v>
      </c>
      <c r="M122" s="289">
        <v>45161</v>
      </c>
      <c r="N122" s="289"/>
    </row>
    <row r="123" spans="1:14" ht="15" hidden="1" customHeight="1">
      <c r="A123" s="297" t="s">
        <v>1396</v>
      </c>
      <c r="B123" s="297" t="s">
        <v>543</v>
      </c>
      <c r="C123" s="283" t="s">
        <v>549</v>
      </c>
      <c r="D123" s="298" t="s">
        <v>511</v>
      </c>
      <c r="E123" s="297" t="s">
        <v>544</v>
      </c>
      <c r="F123" s="297" t="s">
        <v>545</v>
      </c>
      <c r="G123" s="297" t="s">
        <v>18</v>
      </c>
      <c r="H123" s="297" t="s">
        <v>26</v>
      </c>
      <c r="I123" s="297" t="s">
        <v>546</v>
      </c>
      <c r="J123" s="299" t="s">
        <v>547</v>
      </c>
      <c r="K123" s="299"/>
      <c r="L123" s="300">
        <v>43361</v>
      </c>
      <c r="M123" s="301">
        <v>45192</v>
      </c>
      <c r="N123" s="301"/>
    </row>
    <row r="124" spans="1:14" ht="15" hidden="1" customHeight="1">
      <c r="A124" s="283" t="s">
        <v>548</v>
      </c>
      <c r="B124" s="297" t="s">
        <v>543</v>
      </c>
      <c r="C124" s="283" t="s">
        <v>549</v>
      </c>
      <c r="D124" s="287" t="s">
        <v>511</v>
      </c>
      <c r="E124" s="283" t="s">
        <v>550</v>
      </c>
      <c r="F124" s="283" t="s">
        <v>551</v>
      </c>
      <c r="G124" s="283" t="s">
        <v>18</v>
      </c>
      <c r="H124" s="283" t="s">
        <v>26</v>
      </c>
      <c r="I124" s="283" t="s">
        <v>552</v>
      </c>
      <c r="J124" s="290" t="s">
        <v>553</v>
      </c>
      <c r="K124" s="290"/>
      <c r="L124" s="291">
        <v>43391</v>
      </c>
      <c r="M124" s="289">
        <v>45222</v>
      </c>
      <c r="N124" s="289"/>
    </row>
    <row r="125" spans="1:14" ht="15" hidden="1" customHeight="1">
      <c r="A125" s="283" t="s">
        <v>22</v>
      </c>
      <c r="B125" s="283" t="s">
        <v>23</v>
      </c>
      <c r="C125" s="283" t="s">
        <v>24</v>
      </c>
      <c r="D125" s="287" t="s">
        <v>16</v>
      </c>
      <c r="E125" s="283" t="s">
        <v>25</v>
      </c>
      <c r="F125" s="283" t="s">
        <v>24</v>
      </c>
      <c r="G125" s="283" t="s">
        <v>18</v>
      </c>
      <c r="H125" s="283" t="s">
        <v>26</v>
      </c>
      <c r="I125" s="283" t="s">
        <v>27</v>
      </c>
      <c r="J125" s="290" t="s">
        <v>28</v>
      </c>
      <c r="K125" s="290"/>
      <c r="L125" s="291">
        <v>43391</v>
      </c>
      <c r="M125" s="289">
        <v>45222</v>
      </c>
      <c r="N125" s="289" t="s">
        <v>29</v>
      </c>
    </row>
    <row r="126" spans="1:14" ht="15" hidden="1" customHeight="1">
      <c r="A126" s="283" t="s">
        <v>449</v>
      </c>
      <c r="B126" s="283" t="s">
        <v>450</v>
      </c>
      <c r="C126" s="283" t="s">
        <v>451</v>
      </c>
      <c r="D126" s="287" t="s">
        <v>427</v>
      </c>
      <c r="E126" s="284" t="s">
        <v>452</v>
      </c>
      <c r="F126" s="283" t="s">
        <v>451</v>
      </c>
      <c r="G126" s="283" t="s">
        <v>18</v>
      </c>
      <c r="H126" s="283" t="s">
        <v>26</v>
      </c>
      <c r="I126" s="283" t="s">
        <v>453</v>
      </c>
      <c r="J126" s="290" t="s">
        <v>454</v>
      </c>
      <c r="K126" s="290"/>
      <c r="L126" s="291">
        <v>43435</v>
      </c>
      <c r="M126" s="289">
        <v>45283</v>
      </c>
      <c r="N126" s="289"/>
    </row>
    <row r="127" spans="1:14" ht="15" hidden="1" customHeight="1">
      <c r="A127" s="283" t="s">
        <v>739</v>
      </c>
      <c r="B127" s="283" t="s">
        <v>740</v>
      </c>
      <c r="C127" s="283" t="s">
        <v>741</v>
      </c>
      <c r="D127" s="287" t="s">
        <v>627</v>
      </c>
      <c r="E127" s="283" t="s">
        <v>86</v>
      </c>
      <c r="F127" s="283" t="s">
        <v>741</v>
      </c>
      <c r="G127" s="283" t="s">
        <v>18</v>
      </c>
      <c r="H127" s="283" t="s">
        <v>26</v>
      </c>
      <c r="I127" s="283" t="s">
        <v>742</v>
      </c>
      <c r="J127" s="290" t="s">
        <v>743</v>
      </c>
      <c r="K127" s="290"/>
      <c r="L127" s="291">
        <v>43515</v>
      </c>
      <c r="M127" s="289">
        <v>45346</v>
      </c>
      <c r="N127" s="283"/>
    </row>
    <row r="128" spans="1:14" ht="15" hidden="1" customHeight="1">
      <c r="A128" s="283" t="s">
        <v>455</v>
      </c>
      <c r="B128" s="283" t="s">
        <v>456</v>
      </c>
      <c r="C128" s="283" t="s">
        <v>457</v>
      </c>
      <c r="D128" s="287" t="s">
        <v>427</v>
      </c>
      <c r="E128" s="284" t="s">
        <v>458</v>
      </c>
      <c r="F128" s="283" t="str">
        <f>C128</f>
        <v>BAOTHAMP</v>
      </c>
      <c r="G128" s="283" t="s">
        <v>18</v>
      </c>
      <c r="H128" s="283" t="s">
        <v>26</v>
      </c>
      <c r="I128" s="283" t="s">
        <v>459</v>
      </c>
      <c r="J128" s="290" t="s">
        <v>460</v>
      </c>
      <c r="K128" s="290"/>
      <c r="L128" s="291">
        <v>43515</v>
      </c>
      <c r="M128" s="289">
        <v>45346</v>
      </c>
      <c r="N128" s="289" t="s">
        <v>461</v>
      </c>
    </row>
    <row r="129" spans="1:14" ht="15" hidden="1" customHeight="1">
      <c r="A129" s="163" t="s">
        <v>531</v>
      </c>
      <c r="B129" s="140" t="s">
        <v>529</v>
      </c>
      <c r="C129" s="140" t="s">
        <v>529</v>
      </c>
      <c r="D129" s="143" t="s">
        <v>427</v>
      </c>
      <c r="E129" s="152" t="s">
        <v>532</v>
      </c>
      <c r="G129" s="145" t="s">
        <v>84</v>
      </c>
      <c r="H129" s="154" t="s">
        <v>533</v>
      </c>
      <c r="I129" s="145"/>
      <c r="J129" s="145"/>
      <c r="K129" s="145"/>
      <c r="L129" s="145"/>
      <c r="M129" s="145"/>
      <c r="N129" s="145"/>
    </row>
    <row r="130" spans="1:14" ht="15" hidden="1" customHeight="1">
      <c r="A130" s="125" t="s">
        <v>193</v>
      </c>
      <c r="B130" s="262" t="s">
        <v>1377</v>
      </c>
      <c r="C130" s="262" t="s">
        <v>1377</v>
      </c>
      <c r="D130" s="143" t="s">
        <v>78</v>
      </c>
      <c r="E130" s="144">
        <v>1000000330</v>
      </c>
      <c r="G130" s="145" t="s">
        <v>84</v>
      </c>
      <c r="H130" s="146" t="s">
        <v>194</v>
      </c>
      <c r="I130" s="145"/>
      <c r="J130" s="145"/>
      <c r="K130" s="145"/>
      <c r="L130" s="145"/>
      <c r="M130" s="145"/>
      <c r="N130" s="145"/>
    </row>
    <row r="131" spans="1:14" ht="15" hidden="1" customHeight="1">
      <c r="A131" s="125" t="s">
        <v>177</v>
      </c>
      <c r="B131" s="125" t="s">
        <v>178</v>
      </c>
      <c r="C131" s="125" t="s">
        <v>178</v>
      </c>
      <c r="D131" s="143" t="s">
        <v>78</v>
      </c>
      <c r="E131" s="144">
        <v>1000000414</v>
      </c>
      <c r="G131" s="145" t="s">
        <v>84</v>
      </c>
      <c r="H131" s="146" t="s">
        <v>179</v>
      </c>
      <c r="I131" s="145"/>
      <c r="J131" s="145"/>
      <c r="K131" s="145"/>
      <c r="L131" s="145"/>
      <c r="M131" s="145"/>
      <c r="N131" s="145"/>
    </row>
    <row r="132" spans="1:14" ht="15" hidden="1" customHeight="1">
      <c r="A132" s="125" t="s">
        <v>173</v>
      </c>
      <c r="B132" s="125" t="s">
        <v>116</v>
      </c>
      <c r="C132" s="125" t="s">
        <v>174</v>
      </c>
      <c r="D132" s="143" t="s">
        <v>78</v>
      </c>
      <c r="E132" s="144">
        <v>1000000661</v>
      </c>
      <c r="G132" s="145" t="s">
        <v>84</v>
      </c>
      <c r="H132" s="146" t="s">
        <v>175</v>
      </c>
      <c r="I132" s="145"/>
      <c r="J132" s="145"/>
      <c r="K132" s="145"/>
      <c r="L132" s="145"/>
      <c r="M132" s="145"/>
      <c r="N132" s="145"/>
    </row>
    <row r="133" spans="1:14" ht="15" customHeight="1">
      <c r="A133" s="188" t="s">
        <v>95</v>
      </c>
      <c r="B133" s="125" t="s">
        <v>96</v>
      </c>
      <c r="C133" s="150" t="s">
        <v>97</v>
      </c>
      <c r="D133" s="125" t="s">
        <v>78</v>
      </c>
      <c r="E133" s="125" t="s">
        <v>98</v>
      </c>
      <c r="F133" s="125" t="s">
        <v>99</v>
      </c>
      <c r="G133" s="125" t="s">
        <v>18</v>
      </c>
      <c r="H133" s="125" t="s">
        <v>26</v>
      </c>
      <c r="I133" s="125" t="s">
        <v>100</v>
      </c>
      <c r="J133" s="129" t="s">
        <v>101</v>
      </c>
      <c r="K133" s="129"/>
      <c r="L133" s="130">
        <v>43575</v>
      </c>
      <c r="M133" s="136">
        <v>45406</v>
      </c>
      <c r="N133" s="136" t="s">
        <v>102</v>
      </c>
    </row>
    <row r="134" spans="1:14" ht="15" hidden="1" customHeight="1">
      <c r="A134" s="283" t="s">
        <v>294</v>
      </c>
      <c r="B134" s="283" t="s">
        <v>295</v>
      </c>
      <c r="C134" s="283" t="s">
        <v>296</v>
      </c>
      <c r="D134" s="287" t="s">
        <v>259</v>
      </c>
      <c r="E134" s="283" t="s">
        <v>297</v>
      </c>
      <c r="F134" s="283" t="s">
        <v>296</v>
      </c>
      <c r="G134" s="283" t="s">
        <v>18</v>
      </c>
      <c r="H134" s="283" t="s">
        <v>26</v>
      </c>
      <c r="I134" s="283" t="s">
        <v>298</v>
      </c>
      <c r="J134" s="290" t="s">
        <v>101</v>
      </c>
      <c r="K134" s="290"/>
      <c r="L134" s="291">
        <v>43575</v>
      </c>
      <c r="M134" s="289">
        <v>45406</v>
      </c>
      <c r="N134" s="289"/>
    </row>
    <row r="135" spans="1:14" s="198" customFormat="1" ht="15" hidden="1" customHeight="1">
      <c r="A135" s="283" t="s">
        <v>299</v>
      </c>
      <c r="B135" s="283" t="s">
        <v>300</v>
      </c>
      <c r="C135" s="283" t="s">
        <v>301</v>
      </c>
      <c r="D135" s="287" t="s">
        <v>259</v>
      </c>
      <c r="E135" s="283" t="s">
        <v>302</v>
      </c>
      <c r="F135" s="283" t="s">
        <v>301</v>
      </c>
      <c r="G135" s="283" t="s">
        <v>18</v>
      </c>
      <c r="H135" s="283" t="s">
        <v>26</v>
      </c>
      <c r="I135" s="283" t="s">
        <v>303</v>
      </c>
      <c r="J135" s="290" t="s">
        <v>101</v>
      </c>
      <c r="K135" s="290"/>
      <c r="L135" s="291">
        <v>43575</v>
      </c>
      <c r="M135" s="289">
        <v>45406</v>
      </c>
      <c r="N135" s="289"/>
    </row>
    <row r="136" spans="1:14" ht="15" hidden="1" customHeight="1">
      <c r="A136" s="283" t="s">
        <v>304</v>
      </c>
      <c r="B136" s="283" t="s">
        <v>305</v>
      </c>
      <c r="C136" s="283" t="s">
        <v>306</v>
      </c>
      <c r="D136" s="287" t="s">
        <v>259</v>
      </c>
      <c r="E136" s="283" t="s">
        <v>307</v>
      </c>
      <c r="F136" s="283" t="s">
        <v>306</v>
      </c>
      <c r="G136" s="283" t="s">
        <v>18</v>
      </c>
      <c r="H136" s="283" t="s">
        <v>26</v>
      </c>
      <c r="I136" s="283" t="s">
        <v>308</v>
      </c>
      <c r="J136" s="290" t="s">
        <v>101</v>
      </c>
      <c r="K136" s="290"/>
      <c r="L136" s="291">
        <v>43575</v>
      </c>
      <c r="M136" s="289">
        <v>45406</v>
      </c>
      <c r="N136" s="289"/>
    </row>
    <row r="137" spans="1:14" ht="15" hidden="1" customHeight="1">
      <c r="A137" s="125" t="s">
        <v>830</v>
      </c>
      <c r="B137" s="125" t="s">
        <v>831</v>
      </c>
      <c r="C137" s="125" t="s">
        <v>831</v>
      </c>
      <c r="D137" s="143" t="s">
        <v>78</v>
      </c>
      <c r="E137" s="144">
        <v>1000000662</v>
      </c>
      <c r="G137" s="145" t="s">
        <v>84</v>
      </c>
      <c r="H137" s="146" t="s">
        <v>832</v>
      </c>
      <c r="I137" s="145"/>
      <c r="J137" s="145"/>
      <c r="K137" s="145"/>
      <c r="L137" s="145"/>
      <c r="M137" s="145"/>
      <c r="N137" s="145"/>
    </row>
    <row r="138" spans="1:14" ht="15" hidden="1" customHeight="1">
      <c r="A138" s="125" t="s">
        <v>176</v>
      </c>
      <c r="B138" s="125" t="s">
        <v>116</v>
      </c>
      <c r="C138" s="125" t="s">
        <v>174</v>
      </c>
      <c r="D138" s="143" t="s">
        <v>78</v>
      </c>
      <c r="E138" s="144">
        <v>1000000674</v>
      </c>
      <c r="G138" s="145" t="s">
        <v>84</v>
      </c>
      <c r="H138" s="146" t="s">
        <v>175</v>
      </c>
      <c r="I138" s="145"/>
      <c r="J138" s="145"/>
      <c r="K138" s="145"/>
      <c r="L138" s="145"/>
      <c r="M138" s="145"/>
      <c r="N138" s="145"/>
    </row>
    <row r="139" spans="1:14" ht="15" hidden="1" customHeight="1">
      <c r="A139" s="283" t="s">
        <v>309</v>
      </c>
      <c r="B139" s="283" t="s">
        <v>310</v>
      </c>
      <c r="C139" s="283" t="s">
        <v>311</v>
      </c>
      <c r="D139" s="287" t="s">
        <v>259</v>
      </c>
      <c r="E139" s="283" t="s">
        <v>312</v>
      </c>
      <c r="F139" s="283" t="s">
        <v>311</v>
      </c>
      <c r="G139" s="283" t="s">
        <v>18</v>
      </c>
      <c r="H139" s="283" t="s">
        <v>26</v>
      </c>
      <c r="I139" s="283" t="s">
        <v>313</v>
      </c>
      <c r="J139" s="290" t="s">
        <v>101</v>
      </c>
      <c r="K139" s="290"/>
      <c r="L139" s="291">
        <v>43575</v>
      </c>
      <c r="M139" s="289">
        <v>45406</v>
      </c>
      <c r="N139" s="289"/>
    </row>
    <row r="140" spans="1:14" ht="15" customHeight="1">
      <c r="A140" s="188" t="s">
        <v>103</v>
      </c>
      <c r="B140" s="125" t="s">
        <v>104</v>
      </c>
      <c r="C140" s="150" t="s">
        <v>105</v>
      </c>
      <c r="D140" s="125" t="s">
        <v>78</v>
      </c>
      <c r="E140" s="139" t="s">
        <v>106</v>
      </c>
      <c r="F140" s="125" t="s">
        <v>105</v>
      </c>
      <c r="G140" s="125" t="s">
        <v>18</v>
      </c>
      <c r="H140" s="125" t="s">
        <v>107</v>
      </c>
      <c r="I140" s="125" t="s">
        <v>108</v>
      </c>
      <c r="J140" s="129">
        <v>4500799734</v>
      </c>
      <c r="K140" s="129"/>
      <c r="L140" s="130">
        <v>44002</v>
      </c>
      <c r="M140" s="136">
        <v>45833</v>
      </c>
      <c r="N140" s="136"/>
    </row>
    <row r="141" spans="1:14" ht="15" customHeight="1">
      <c r="A141" s="188" t="s">
        <v>109</v>
      </c>
      <c r="B141" s="125" t="s">
        <v>110</v>
      </c>
      <c r="C141" s="150" t="s">
        <v>111</v>
      </c>
      <c r="D141" s="125" t="s">
        <v>78</v>
      </c>
      <c r="E141" s="139" t="s">
        <v>112</v>
      </c>
      <c r="F141" s="125" t="s">
        <v>113</v>
      </c>
      <c r="G141" s="125" t="s">
        <v>18</v>
      </c>
      <c r="H141" s="125" t="s">
        <v>107</v>
      </c>
      <c r="I141" s="125" t="s">
        <v>114</v>
      </c>
      <c r="J141" s="129">
        <v>4500799734</v>
      </c>
      <c r="K141" s="129"/>
      <c r="L141" s="130">
        <v>44002</v>
      </c>
      <c r="M141" s="136">
        <v>45833</v>
      </c>
      <c r="N141" s="136"/>
    </row>
    <row r="142" spans="1:14" s="127" customFormat="1" ht="15" customHeight="1">
      <c r="A142" s="162" t="s">
        <v>115</v>
      </c>
      <c r="B142" s="337" t="s">
        <v>116</v>
      </c>
      <c r="C142" s="127" t="s">
        <v>117</v>
      </c>
      <c r="D142" s="127" t="s">
        <v>78</v>
      </c>
      <c r="E142" s="338" t="s">
        <v>118</v>
      </c>
      <c r="F142" s="161"/>
      <c r="G142" s="161" t="s">
        <v>18</v>
      </c>
      <c r="H142" s="339" t="s">
        <v>107</v>
      </c>
      <c r="I142" s="125" t="s">
        <v>119</v>
      </c>
      <c r="J142" s="245">
        <v>4500799734</v>
      </c>
      <c r="K142" s="340"/>
      <c r="L142" s="341">
        <v>44002</v>
      </c>
      <c r="M142" s="342">
        <v>45833</v>
      </c>
      <c r="N142" s="342"/>
    </row>
    <row r="143" spans="1:14" ht="15" hidden="1" customHeight="1">
      <c r="A143" s="283" t="s">
        <v>462</v>
      </c>
      <c r="B143" s="283" t="s">
        <v>463</v>
      </c>
      <c r="C143" s="283" t="s">
        <v>464</v>
      </c>
      <c r="D143" s="287" t="s">
        <v>427</v>
      </c>
      <c r="E143" s="284" t="s">
        <v>465</v>
      </c>
      <c r="F143" s="283" t="str">
        <f>C143</f>
        <v>RUTTANTH</v>
      </c>
      <c r="G143" s="283" t="s">
        <v>18</v>
      </c>
      <c r="H143" s="283" t="s">
        <v>107</v>
      </c>
      <c r="I143" s="283" t="s">
        <v>466</v>
      </c>
      <c r="J143" s="290">
        <v>4500799734</v>
      </c>
      <c r="K143" s="290"/>
      <c r="L143" s="291">
        <v>44002</v>
      </c>
      <c r="M143" s="289">
        <v>45833</v>
      </c>
      <c r="N143" s="289"/>
    </row>
    <row r="144" spans="1:14" ht="15" customHeight="1">
      <c r="A144" s="188" t="s">
        <v>120</v>
      </c>
      <c r="B144" s="125" t="s">
        <v>121</v>
      </c>
      <c r="C144" s="150" t="s">
        <v>122</v>
      </c>
      <c r="D144" s="125" t="s">
        <v>78</v>
      </c>
      <c r="E144" s="139" t="s">
        <v>123</v>
      </c>
      <c r="F144" s="125" t="s">
        <v>124</v>
      </c>
      <c r="G144" s="125" t="s">
        <v>18</v>
      </c>
      <c r="H144" s="125" t="s">
        <v>107</v>
      </c>
      <c r="I144" s="125" t="s">
        <v>125</v>
      </c>
      <c r="J144" s="129">
        <v>4500870907</v>
      </c>
      <c r="K144" s="129"/>
      <c r="L144" s="130">
        <v>44217</v>
      </c>
      <c r="M144" s="136">
        <v>46048</v>
      </c>
      <c r="N144" s="136" t="s">
        <v>126</v>
      </c>
    </row>
    <row r="145" spans="1:14" ht="15" hidden="1" customHeight="1">
      <c r="A145" s="283" t="s">
        <v>314</v>
      </c>
      <c r="B145" s="283" t="s">
        <v>315</v>
      </c>
      <c r="C145" s="283" t="s">
        <v>316</v>
      </c>
      <c r="D145" s="287" t="s">
        <v>259</v>
      </c>
      <c r="E145" s="284" t="s">
        <v>317</v>
      </c>
      <c r="F145" s="283" t="s">
        <v>316</v>
      </c>
      <c r="G145" s="283" t="s">
        <v>18</v>
      </c>
      <c r="H145" s="283" t="s">
        <v>34</v>
      </c>
      <c r="I145" s="283" t="s">
        <v>318</v>
      </c>
      <c r="J145" s="290">
        <v>4500945593</v>
      </c>
      <c r="K145" s="290"/>
      <c r="L145" s="291">
        <v>44521</v>
      </c>
      <c r="M145" s="289">
        <v>46352</v>
      </c>
      <c r="N145" s="289"/>
    </row>
    <row r="146" spans="1:14" ht="15" hidden="1" customHeight="1">
      <c r="A146" s="283" t="s">
        <v>30</v>
      </c>
      <c r="B146" s="283" t="s">
        <v>31</v>
      </c>
      <c r="C146" s="283" t="s">
        <v>32</v>
      </c>
      <c r="D146" s="287" t="s">
        <v>16</v>
      </c>
      <c r="E146" s="284" t="s">
        <v>33</v>
      </c>
      <c r="F146" s="283" t="s">
        <v>32</v>
      </c>
      <c r="G146" s="283" t="s">
        <v>18</v>
      </c>
      <c r="H146" s="283" t="s">
        <v>34</v>
      </c>
      <c r="I146" s="283" t="s">
        <v>35</v>
      </c>
      <c r="J146" s="290">
        <v>4500945593</v>
      </c>
      <c r="K146" s="290"/>
      <c r="L146" s="291">
        <v>44521</v>
      </c>
      <c r="M146" s="289">
        <v>46352</v>
      </c>
      <c r="N146" s="289"/>
    </row>
    <row r="147" spans="1:14" ht="15" hidden="1" customHeight="1">
      <c r="A147" s="283" t="s">
        <v>198</v>
      </c>
      <c r="B147" s="283" t="s">
        <v>199</v>
      </c>
      <c r="C147" s="283" t="s">
        <v>200</v>
      </c>
      <c r="D147" s="287" t="s">
        <v>160</v>
      </c>
      <c r="E147" s="284" t="s">
        <v>201</v>
      </c>
      <c r="F147" s="283" t="s">
        <v>202</v>
      </c>
      <c r="G147" s="283" t="s">
        <v>18</v>
      </c>
      <c r="H147" s="283" t="s">
        <v>34</v>
      </c>
      <c r="I147" s="283" t="s">
        <v>203</v>
      </c>
      <c r="J147" s="290">
        <v>4500945593</v>
      </c>
      <c r="K147" s="290"/>
      <c r="L147" s="291">
        <v>44521</v>
      </c>
      <c r="M147" s="289">
        <v>46352</v>
      </c>
      <c r="N147" s="289"/>
    </row>
    <row r="148" spans="1:14" ht="15" hidden="1" customHeight="1">
      <c r="A148" s="125" t="s">
        <v>195</v>
      </c>
      <c r="B148" s="142" t="s">
        <v>96</v>
      </c>
      <c r="C148" s="125" t="s">
        <v>196</v>
      </c>
      <c r="D148" s="151" t="s">
        <v>78</v>
      </c>
      <c r="E148" s="144">
        <v>1000000949</v>
      </c>
      <c r="G148" s="145" t="s">
        <v>84</v>
      </c>
      <c r="H148" s="146" t="s">
        <v>197</v>
      </c>
      <c r="I148" s="145"/>
      <c r="J148" s="145"/>
      <c r="K148" s="145"/>
      <c r="L148" s="145"/>
      <c r="M148" s="145"/>
      <c r="N148" s="145"/>
    </row>
    <row r="149" spans="1:14" ht="15" hidden="1" customHeight="1">
      <c r="A149" s="283" t="s">
        <v>319</v>
      </c>
      <c r="B149" s="283" t="s">
        <v>320</v>
      </c>
      <c r="C149" s="283" t="s">
        <v>321</v>
      </c>
      <c r="D149" s="287" t="s">
        <v>227</v>
      </c>
      <c r="E149" s="284" t="s">
        <v>322</v>
      </c>
      <c r="F149" s="283" t="s">
        <v>321</v>
      </c>
      <c r="G149" s="283" t="s">
        <v>18</v>
      </c>
      <c r="H149" s="283" t="s">
        <v>34</v>
      </c>
      <c r="I149" s="283" t="s">
        <v>323</v>
      </c>
      <c r="J149" s="290">
        <v>4500945593</v>
      </c>
      <c r="K149" s="290"/>
      <c r="L149" s="291">
        <v>44521</v>
      </c>
      <c r="M149" s="289">
        <v>46352</v>
      </c>
      <c r="N149" s="289"/>
    </row>
    <row r="150" spans="1:14" ht="15" hidden="1" customHeight="1">
      <c r="A150" s="283" t="s">
        <v>467</v>
      </c>
      <c r="B150" s="283" t="s">
        <v>468</v>
      </c>
      <c r="C150" s="283" t="s">
        <v>469</v>
      </c>
      <c r="D150" s="287" t="s">
        <v>427</v>
      </c>
      <c r="E150" s="284" t="s">
        <v>470</v>
      </c>
      <c r="F150" s="283" t="s">
        <v>469</v>
      </c>
      <c r="G150" s="283" t="s">
        <v>18</v>
      </c>
      <c r="H150" s="283" t="s">
        <v>34</v>
      </c>
      <c r="I150" s="283" t="s">
        <v>471</v>
      </c>
      <c r="J150" s="290">
        <v>4500945593</v>
      </c>
      <c r="K150" s="290"/>
      <c r="L150" s="291">
        <v>44521</v>
      </c>
      <c r="M150" s="289">
        <v>46352</v>
      </c>
      <c r="N150" s="289"/>
    </row>
    <row r="151" spans="1:14" ht="15" hidden="1" customHeight="1">
      <c r="A151" s="297" t="s">
        <v>251</v>
      </c>
      <c r="B151" s="297" t="s">
        <v>543</v>
      </c>
      <c r="C151" s="297" t="s">
        <v>252</v>
      </c>
      <c r="D151" s="298" t="s">
        <v>16</v>
      </c>
      <c r="E151" s="302" t="s">
        <v>253</v>
      </c>
      <c r="F151" s="297" t="s">
        <v>254</v>
      </c>
      <c r="G151" s="297" t="s">
        <v>18</v>
      </c>
      <c r="H151" s="297" t="s">
        <v>34</v>
      </c>
      <c r="I151" s="297" t="s">
        <v>255</v>
      </c>
      <c r="J151" s="299">
        <v>4500945593</v>
      </c>
      <c r="K151" s="299"/>
      <c r="L151" s="300">
        <v>44521</v>
      </c>
      <c r="M151" s="301">
        <v>46352</v>
      </c>
      <c r="N151" s="301"/>
    </row>
    <row r="152" spans="1:14" ht="15" hidden="1" customHeight="1">
      <c r="A152" s="283" t="s">
        <v>333</v>
      </c>
      <c r="B152" s="283" t="s">
        <v>334</v>
      </c>
      <c r="C152" s="283" t="s">
        <v>335</v>
      </c>
      <c r="D152" s="287" t="s">
        <v>227</v>
      </c>
      <c r="E152" s="284" t="s">
        <v>336</v>
      </c>
      <c r="F152" s="283" t="s">
        <v>335</v>
      </c>
      <c r="G152" s="283" t="s">
        <v>18</v>
      </c>
      <c r="H152" s="283" t="s">
        <v>34</v>
      </c>
      <c r="I152" s="283" t="s">
        <v>337</v>
      </c>
      <c r="J152" s="290">
        <v>4501054444</v>
      </c>
      <c r="K152" s="290"/>
      <c r="L152" s="291">
        <v>44614</v>
      </c>
      <c r="M152" s="289">
        <v>46445</v>
      </c>
      <c r="N152" s="289"/>
    </row>
    <row r="153" spans="1:14" ht="15" hidden="1" customHeight="1">
      <c r="A153" s="283" t="s">
        <v>204</v>
      </c>
      <c r="B153" s="283" t="s">
        <v>205</v>
      </c>
      <c r="C153" s="283" t="s">
        <v>206</v>
      </c>
      <c r="D153" s="287" t="s">
        <v>160</v>
      </c>
      <c r="E153" s="284" t="s">
        <v>207</v>
      </c>
      <c r="F153" s="283" t="s">
        <v>206</v>
      </c>
      <c r="G153" s="283" t="s">
        <v>18</v>
      </c>
      <c r="H153" s="283" t="s">
        <v>34</v>
      </c>
      <c r="I153" s="283" t="s">
        <v>208</v>
      </c>
      <c r="J153" s="290">
        <v>4501054444</v>
      </c>
      <c r="K153" s="290"/>
      <c r="L153" s="291">
        <v>44614</v>
      </c>
      <c r="M153" s="289">
        <v>46445</v>
      </c>
      <c r="N153" s="289"/>
    </row>
    <row r="154" spans="1:14" ht="15" hidden="1" customHeight="1">
      <c r="A154" s="283" t="s">
        <v>744</v>
      </c>
      <c r="B154" s="283" t="s">
        <v>745</v>
      </c>
      <c r="C154" s="283" t="s">
        <v>634</v>
      </c>
      <c r="D154" s="287" t="s">
        <v>627</v>
      </c>
      <c r="E154" s="284" t="s">
        <v>746</v>
      </c>
      <c r="F154" s="283" t="s">
        <v>634</v>
      </c>
      <c r="G154" s="283" t="s">
        <v>18</v>
      </c>
      <c r="H154" s="283" t="s">
        <v>34</v>
      </c>
      <c r="I154" s="283" t="s">
        <v>747</v>
      </c>
      <c r="J154" s="290">
        <v>4501054444</v>
      </c>
      <c r="K154" s="290"/>
      <c r="L154" s="291">
        <v>44614</v>
      </c>
      <c r="M154" s="289">
        <v>46445</v>
      </c>
      <c r="N154" s="289"/>
    </row>
    <row r="155" spans="1:14" ht="15" hidden="1" customHeight="1">
      <c r="A155" s="283" t="s">
        <v>748</v>
      </c>
      <c r="B155" s="283" t="s">
        <v>749</v>
      </c>
      <c r="C155" s="283" t="s">
        <v>750</v>
      </c>
      <c r="D155" s="287" t="s">
        <v>627</v>
      </c>
      <c r="E155" s="284" t="s">
        <v>751</v>
      </c>
      <c r="F155" s="283" t="s">
        <v>750</v>
      </c>
      <c r="G155" s="283" t="s">
        <v>18</v>
      </c>
      <c r="H155" s="283" t="s">
        <v>34</v>
      </c>
      <c r="I155" s="283" t="s">
        <v>752</v>
      </c>
      <c r="J155" s="290">
        <v>4501054444</v>
      </c>
      <c r="K155" s="290"/>
      <c r="L155" s="291">
        <v>44614</v>
      </c>
      <c r="M155" s="289">
        <v>46445</v>
      </c>
      <c r="N155" s="289"/>
    </row>
    <row r="156" spans="1:14" ht="15" hidden="1" customHeight="1">
      <c r="A156" s="125" t="s">
        <v>828</v>
      </c>
      <c r="B156" s="142" t="s">
        <v>96</v>
      </c>
      <c r="C156" s="125" t="s">
        <v>196</v>
      </c>
      <c r="D156" s="151" t="s">
        <v>78</v>
      </c>
      <c r="E156" s="144">
        <v>1000000997</v>
      </c>
      <c r="G156" s="145" t="s">
        <v>84</v>
      </c>
      <c r="H156" s="146" t="s">
        <v>829</v>
      </c>
      <c r="I156" s="145"/>
      <c r="J156" s="145"/>
      <c r="K156" s="145"/>
      <c r="L156" s="145"/>
      <c r="M156" s="145"/>
      <c r="N156" s="145"/>
    </row>
    <row r="157" spans="1:14" s="204" customFormat="1" ht="15" hidden="1" customHeight="1">
      <c r="A157" s="283" t="s">
        <v>36</v>
      </c>
      <c r="B157" s="284" t="s">
        <v>37</v>
      </c>
      <c r="C157" s="284" t="s">
        <v>38</v>
      </c>
      <c r="D157" s="303" t="s">
        <v>16</v>
      </c>
      <c r="E157" s="284" t="s">
        <v>39</v>
      </c>
      <c r="F157" s="284" t="s">
        <v>38</v>
      </c>
      <c r="G157" s="283" t="s">
        <v>18</v>
      </c>
      <c r="H157" s="283" t="s">
        <v>34</v>
      </c>
      <c r="I157" s="283" t="s">
        <v>40</v>
      </c>
      <c r="J157" s="290">
        <v>4501078677</v>
      </c>
      <c r="K157" s="290"/>
      <c r="L157" s="291">
        <v>44795</v>
      </c>
      <c r="M157" s="289">
        <v>46626</v>
      </c>
      <c r="N157" s="289"/>
    </row>
    <row r="158" spans="1:14" ht="15" hidden="1" customHeight="1">
      <c r="A158" s="125" t="s">
        <v>180</v>
      </c>
      <c r="B158" s="142" t="s">
        <v>181</v>
      </c>
      <c r="C158" s="125" t="s">
        <v>132</v>
      </c>
      <c r="D158" s="143" t="s">
        <v>78</v>
      </c>
      <c r="E158" s="144">
        <v>1000000998</v>
      </c>
      <c r="G158" s="145" t="s">
        <v>84</v>
      </c>
      <c r="H158" s="146" t="s">
        <v>182</v>
      </c>
      <c r="I158" s="145"/>
      <c r="J158" s="145"/>
      <c r="K158" s="145"/>
      <c r="L158" s="145"/>
      <c r="M158" s="145"/>
      <c r="N158" s="145"/>
    </row>
    <row r="159" spans="1:14" ht="15" hidden="1" customHeight="1">
      <c r="A159" s="125" t="s">
        <v>183</v>
      </c>
      <c r="B159" s="142" t="s">
        <v>181</v>
      </c>
      <c r="C159" s="125" t="s">
        <v>132</v>
      </c>
      <c r="D159" s="143" t="s">
        <v>78</v>
      </c>
      <c r="E159" s="144">
        <v>1000000999</v>
      </c>
      <c r="G159" s="145" t="s">
        <v>84</v>
      </c>
      <c r="H159" s="146" t="s">
        <v>184</v>
      </c>
      <c r="I159" s="145"/>
      <c r="J159" s="145"/>
      <c r="K159" s="145"/>
      <c r="L159" s="145"/>
      <c r="M159" s="145"/>
      <c r="N159" s="145"/>
    </row>
    <row r="160" spans="1:14" ht="15" hidden="1" customHeight="1">
      <c r="A160" s="125" t="s">
        <v>165</v>
      </c>
      <c r="B160" s="142" t="s">
        <v>136</v>
      </c>
      <c r="C160" s="125" t="s">
        <v>136</v>
      </c>
      <c r="D160" s="151" t="s">
        <v>78</v>
      </c>
      <c r="E160" s="144">
        <v>1000001020</v>
      </c>
      <c r="G160" s="145" t="s">
        <v>84</v>
      </c>
      <c r="H160" s="146" t="s">
        <v>166</v>
      </c>
    </row>
    <row r="161" spans="1:14" ht="15" hidden="1" customHeight="1">
      <c r="A161" s="125" t="s">
        <v>833</v>
      </c>
      <c r="B161" s="142" t="s">
        <v>104</v>
      </c>
      <c r="C161" s="125" t="s">
        <v>834</v>
      </c>
      <c r="D161" s="151" t="s">
        <v>78</v>
      </c>
      <c r="E161" s="144">
        <v>1000001022</v>
      </c>
      <c r="G161" s="145" t="s">
        <v>84</v>
      </c>
      <c r="H161" s="154" t="s">
        <v>835</v>
      </c>
      <c r="I161" s="145"/>
      <c r="J161" s="145"/>
      <c r="K161" s="145"/>
      <c r="L161" s="145"/>
      <c r="M161" s="145"/>
      <c r="N161" s="145"/>
    </row>
    <row r="162" spans="1:14" ht="15" hidden="1" customHeight="1">
      <c r="A162" s="125" t="s">
        <v>66</v>
      </c>
      <c r="B162" s="142"/>
      <c r="D162" s="128" t="s">
        <v>16</v>
      </c>
      <c r="G162" s="125" t="s">
        <v>67</v>
      </c>
      <c r="H162" s="154" t="s">
        <v>68</v>
      </c>
    </row>
    <row r="163" spans="1:14" ht="15" hidden="1" customHeight="1">
      <c r="A163" s="125" t="s">
        <v>69</v>
      </c>
      <c r="B163" s="142" t="s">
        <v>70</v>
      </c>
      <c r="C163" s="142" t="s">
        <v>70</v>
      </c>
      <c r="D163" s="143" t="s">
        <v>16</v>
      </c>
      <c r="E163" s="148" t="s">
        <v>71</v>
      </c>
      <c r="G163" s="125" t="s">
        <v>67</v>
      </c>
      <c r="H163" s="154" t="s">
        <v>72</v>
      </c>
    </row>
    <row r="164" spans="1:14" ht="15" hidden="1" customHeight="1">
      <c r="A164" s="125" t="s">
        <v>709</v>
      </c>
      <c r="B164" s="142" t="s">
        <v>710</v>
      </c>
      <c r="C164" s="142" t="s">
        <v>710</v>
      </c>
      <c r="D164" s="143" t="s">
        <v>679</v>
      </c>
      <c r="E164" s="148" t="s">
        <v>711</v>
      </c>
      <c r="G164" s="125" t="s">
        <v>67</v>
      </c>
      <c r="H164" s="154" t="s">
        <v>712</v>
      </c>
    </row>
    <row r="165" spans="1:14" ht="15" hidden="1" customHeight="1">
      <c r="A165" s="283" t="s">
        <v>472</v>
      </c>
      <c r="B165" s="284" t="s">
        <v>473</v>
      </c>
      <c r="C165" s="284" t="s">
        <v>474</v>
      </c>
      <c r="D165" s="303" t="s">
        <v>427</v>
      </c>
      <c r="E165" s="284" t="s">
        <v>475</v>
      </c>
      <c r="F165" s="284" t="s">
        <v>474</v>
      </c>
      <c r="G165" s="283" t="s">
        <v>18</v>
      </c>
      <c r="H165" s="283" t="s">
        <v>34</v>
      </c>
      <c r="I165" s="283" t="s">
        <v>476</v>
      </c>
      <c r="J165" s="290">
        <v>4501078677</v>
      </c>
      <c r="K165" s="290"/>
      <c r="L165" s="291">
        <v>44795</v>
      </c>
      <c r="M165" s="289">
        <v>46626</v>
      </c>
      <c r="N165" s="289"/>
    </row>
    <row r="166" spans="1:14" ht="15" hidden="1" customHeight="1">
      <c r="A166" s="283" t="s">
        <v>477</v>
      </c>
      <c r="B166" s="283" t="s">
        <v>478</v>
      </c>
      <c r="C166" s="283" t="s">
        <v>479</v>
      </c>
      <c r="D166" s="287" t="s">
        <v>427</v>
      </c>
      <c r="E166" s="284" t="s">
        <v>480</v>
      </c>
      <c r="F166" s="283" t="str">
        <f>C166</f>
        <v>PITTAKHT</v>
      </c>
      <c r="G166" s="283" t="s">
        <v>18</v>
      </c>
      <c r="H166" s="283" t="s">
        <v>34</v>
      </c>
      <c r="I166" s="283" t="s">
        <v>481</v>
      </c>
      <c r="J166" s="290">
        <v>4501078677</v>
      </c>
      <c r="K166" s="290"/>
      <c r="L166" s="291">
        <v>44795</v>
      </c>
      <c r="M166" s="289">
        <v>46626</v>
      </c>
      <c r="N166" s="289"/>
    </row>
    <row r="167" spans="1:14" ht="15" hidden="1" customHeight="1">
      <c r="A167" s="283" t="s">
        <v>676</v>
      </c>
      <c r="B167" s="284" t="s">
        <v>677</v>
      </c>
      <c r="C167" s="284" t="s">
        <v>678</v>
      </c>
      <c r="D167" s="303" t="s">
        <v>679</v>
      </c>
      <c r="E167" s="284" t="s">
        <v>680</v>
      </c>
      <c r="F167" s="284" t="s">
        <v>678</v>
      </c>
      <c r="G167" s="283" t="s">
        <v>18</v>
      </c>
      <c r="H167" s="283" t="s">
        <v>34</v>
      </c>
      <c r="I167" s="283" t="s">
        <v>681</v>
      </c>
      <c r="J167" s="290">
        <v>4501078677</v>
      </c>
      <c r="K167" s="290"/>
      <c r="L167" s="291">
        <v>44795</v>
      </c>
      <c r="M167" s="289">
        <v>46626</v>
      </c>
      <c r="N167" s="289"/>
    </row>
    <row r="168" spans="1:14" ht="15" hidden="1" customHeight="1">
      <c r="A168" s="283" t="s">
        <v>374</v>
      </c>
      <c r="B168" s="286" t="s">
        <v>375</v>
      </c>
      <c r="C168" s="286" t="s">
        <v>376</v>
      </c>
      <c r="D168" s="303" t="s">
        <v>377</v>
      </c>
      <c r="E168" s="284" t="s">
        <v>378</v>
      </c>
      <c r="F168" s="284"/>
      <c r="G168" s="283" t="s">
        <v>18</v>
      </c>
      <c r="H168" s="283" t="s">
        <v>45</v>
      </c>
      <c r="I168" s="284" t="s">
        <v>379</v>
      </c>
      <c r="J168" s="290">
        <v>4501227101</v>
      </c>
      <c r="K168" s="290"/>
      <c r="L168" s="291">
        <v>45008</v>
      </c>
      <c r="M168" s="289">
        <v>46840</v>
      </c>
      <c r="N168" s="283"/>
    </row>
    <row r="169" spans="1:14" ht="15" hidden="1" customHeight="1">
      <c r="A169" s="283" t="s">
        <v>41</v>
      </c>
      <c r="B169" s="284" t="s">
        <v>42</v>
      </c>
      <c r="C169" s="284" t="s">
        <v>43</v>
      </c>
      <c r="D169" s="303" t="s">
        <v>16</v>
      </c>
      <c r="E169" s="284" t="s">
        <v>44</v>
      </c>
      <c r="F169" s="284" t="s">
        <v>43</v>
      </c>
      <c r="G169" s="283" t="s">
        <v>18</v>
      </c>
      <c r="H169" s="283" t="s">
        <v>45</v>
      </c>
      <c r="I169" s="284" t="s">
        <v>46</v>
      </c>
      <c r="J169" s="290">
        <v>4501227101</v>
      </c>
      <c r="K169" s="290"/>
      <c r="L169" s="291">
        <v>45008</v>
      </c>
      <c r="M169" s="289">
        <v>46840</v>
      </c>
      <c r="N169" s="283"/>
    </row>
    <row r="170" spans="1:14" ht="15" hidden="1" customHeight="1">
      <c r="A170" s="283" t="s">
        <v>482</v>
      </c>
      <c r="B170" s="283" t="s">
        <v>483</v>
      </c>
      <c r="C170" s="283" t="s">
        <v>484</v>
      </c>
      <c r="D170" s="287" t="s">
        <v>427</v>
      </c>
      <c r="E170" s="284" t="s">
        <v>485</v>
      </c>
      <c r="F170" s="283" t="s">
        <v>484</v>
      </c>
      <c r="G170" s="283" t="s">
        <v>18</v>
      </c>
      <c r="H170" s="283" t="s">
        <v>45</v>
      </c>
      <c r="I170" s="284" t="s">
        <v>486</v>
      </c>
      <c r="J170" s="290">
        <v>4501227101</v>
      </c>
      <c r="K170" s="290"/>
      <c r="L170" s="291">
        <v>45008</v>
      </c>
      <c r="M170" s="289">
        <v>46840</v>
      </c>
      <c r="N170" s="283"/>
    </row>
    <row r="171" spans="1:14" ht="15" hidden="1" customHeight="1">
      <c r="A171" s="125" t="s">
        <v>220</v>
      </c>
      <c r="B171" s="142" t="s">
        <v>221</v>
      </c>
      <c r="C171" s="142" t="s">
        <v>221</v>
      </c>
      <c r="D171" s="143" t="s">
        <v>160</v>
      </c>
      <c r="E171" s="148" t="s">
        <v>222</v>
      </c>
      <c r="G171" s="125" t="s">
        <v>67</v>
      </c>
      <c r="H171" s="154" t="s">
        <v>223</v>
      </c>
    </row>
    <row r="172" spans="1:14" ht="15" customHeight="1">
      <c r="A172" s="188" t="s">
        <v>127</v>
      </c>
      <c r="B172" s="125" t="s">
        <v>1377</v>
      </c>
      <c r="C172" s="150" t="s">
        <v>1377</v>
      </c>
      <c r="D172" s="125" t="s">
        <v>78</v>
      </c>
      <c r="E172" s="139" t="s">
        <v>128</v>
      </c>
      <c r="F172" s="343" t="s">
        <v>1377</v>
      </c>
      <c r="G172" s="125" t="s">
        <v>18</v>
      </c>
      <c r="H172" s="125" t="s">
        <v>45</v>
      </c>
      <c r="I172" s="139" t="s">
        <v>129</v>
      </c>
      <c r="J172" s="129">
        <v>4501227101</v>
      </c>
      <c r="K172" s="129"/>
      <c r="L172" s="130">
        <v>45008</v>
      </c>
      <c r="M172" s="136">
        <v>46840</v>
      </c>
    </row>
    <row r="173" spans="1:14" ht="15" hidden="1" customHeight="1">
      <c r="A173" s="283" t="s">
        <v>209</v>
      </c>
      <c r="B173" s="284" t="s">
        <v>210</v>
      </c>
      <c r="C173" s="284" t="s">
        <v>211</v>
      </c>
      <c r="D173" s="303" t="s">
        <v>160</v>
      </c>
      <c r="E173" s="284" t="s">
        <v>212</v>
      </c>
      <c r="F173" s="284" t="str">
        <f>C173</f>
        <v>THANAKHJ</v>
      </c>
      <c r="G173" s="283" t="s">
        <v>18</v>
      </c>
      <c r="H173" s="283" t="s">
        <v>45</v>
      </c>
      <c r="I173" s="284" t="s">
        <v>213</v>
      </c>
      <c r="J173" s="290">
        <v>4501227101</v>
      </c>
      <c r="K173" s="290"/>
      <c r="L173" s="291">
        <v>45008</v>
      </c>
      <c r="M173" s="289">
        <v>46840</v>
      </c>
      <c r="N173" s="283"/>
    </row>
    <row r="174" spans="1:14" ht="15" hidden="1" customHeight="1">
      <c r="A174" s="283" t="s">
        <v>400</v>
      </c>
      <c r="B174" s="283" t="s">
        <v>401</v>
      </c>
      <c r="C174" s="283" t="s">
        <v>402</v>
      </c>
      <c r="D174" s="287" t="s">
        <v>377</v>
      </c>
      <c r="E174" s="284" t="s">
        <v>403</v>
      </c>
      <c r="F174" s="283" t="s">
        <v>404</v>
      </c>
      <c r="G174" s="283" t="s">
        <v>18</v>
      </c>
      <c r="H174" s="283" t="s">
        <v>45</v>
      </c>
      <c r="I174" s="284" t="s">
        <v>405</v>
      </c>
      <c r="J174" s="290">
        <v>4501227101</v>
      </c>
      <c r="K174" s="290"/>
      <c r="L174" s="291">
        <v>45008</v>
      </c>
      <c r="M174" s="289">
        <v>46840</v>
      </c>
      <c r="N174" s="283"/>
    </row>
    <row r="175" spans="1:14" ht="15" hidden="1" customHeight="1">
      <c r="A175" s="283" t="s">
        <v>406</v>
      </c>
      <c r="B175" s="283" t="s">
        <v>407</v>
      </c>
      <c r="C175" s="283" t="s">
        <v>408</v>
      </c>
      <c r="D175" s="287" t="s">
        <v>377</v>
      </c>
      <c r="E175" s="284" t="s">
        <v>409</v>
      </c>
      <c r="F175" s="283" t="str">
        <f>C175</f>
        <v>KONGKAEW</v>
      </c>
      <c r="G175" s="283" t="s">
        <v>18</v>
      </c>
      <c r="H175" s="283" t="s">
        <v>45</v>
      </c>
      <c r="I175" s="284" t="s">
        <v>410</v>
      </c>
      <c r="J175" s="290">
        <v>4501227101</v>
      </c>
      <c r="K175" s="290"/>
      <c r="L175" s="291">
        <v>45008</v>
      </c>
      <c r="M175" s="289">
        <v>46840</v>
      </c>
      <c r="N175" s="283"/>
    </row>
    <row r="176" spans="1:14" ht="15" hidden="1" customHeight="1">
      <c r="A176" s="283" t="s">
        <v>47</v>
      </c>
      <c r="B176" s="283" t="s">
        <v>48</v>
      </c>
      <c r="C176" s="283" t="s">
        <v>49</v>
      </c>
      <c r="D176" s="287" t="s">
        <v>16</v>
      </c>
      <c r="E176" s="284" t="s">
        <v>50</v>
      </c>
      <c r="F176" s="283" t="s">
        <v>49</v>
      </c>
      <c r="G176" s="283" t="s">
        <v>18</v>
      </c>
      <c r="H176" s="283" t="s">
        <v>45</v>
      </c>
      <c r="I176" s="284" t="s">
        <v>51</v>
      </c>
      <c r="J176" s="290">
        <v>4501227101</v>
      </c>
      <c r="K176" s="290"/>
      <c r="L176" s="291">
        <v>45008</v>
      </c>
      <c r="M176" s="289">
        <v>46840</v>
      </c>
      <c r="N176" s="283" t="s">
        <v>52</v>
      </c>
    </row>
    <row r="177" spans="1:14" ht="15" hidden="1" customHeight="1">
      <c r="A177" s="283" t="s">
        <v>753</v>
      </c>
      <c r="B177" s="283" t="s">
        <v>754</v>
      </c>
      <c r="C177" s="283" t="s">
        <v>626</v>
      </c>
      <c r="D177" s="287" t="s">
        <v>627</v>
      </c>
      <c r="E177" s="284" t="s">
        <v>755</v>
      </c>
      <c r="F177" s="283" t="s">
        <v>626</v>
      </c>
      <c r="G177" s="283" t="s">
        <v>18</v>
      </c>
      <c r="H177" s="283" t="s">
        <v>45</v>
      </c>
      <c r="I177" s="284" t="s">
        <v>756</v>
      </c>
      <c r="J177" s="290">
        <v>4501227101</v>
      </c>
      <c r="K177" s="290"/>
      <c r="L177" s="291">
        <v>45008</v>
      </c>
      <c r="M177" s="289">
        <v>46840</v>
      </c>
      <c r="N177" s="283"/>
    </row>
    <row r="178" spans="1:14" ht="15" hidden="1" customHeight="1">
      <c r="A178" s="283" t="s">
        <v>641</v>
      </c>
      <c r="B178" s="283" t="s">
        <v>642</v>
      </c>
      <c r="C178" s="283" t="s">
        <v>643</v>
      </c>
      <c r="D178" s="287" t="s">
        <v>644</v>
      </c>
      <c r="E178" s="284" t="s">
        <v>645</v>
      </c>
      <c r="F178" s="283" t="s">
        <v>646</v>
      </c>
      <c r="G178" s="283" t="s">
        <v>18</v>
      </c>
      <c r="H178" s="283" t="s">
        <v>45</v>
      </c>
      <c r="I178" s="284" t="s">
        <v>647</v>
      </c>
      <c r="J178" s="290">
        <v>4501227101</v>
      </c>
      <c r="K178" s="290"/>
      <c r="L178" s="291">
        <v>45008</v>
      </c>
      <c r="M178" s="289">
        <v>46840</v>
      </c>
      <c r="N178" s="283"/>
    </row>
    <row r="179" spans="1:14" ht="15" hidden="1" customHeight="1">
      <c r="A179" s="283" t="s">
        <v>696</v>
      </c>
      <c r="B179" s="283" t="s">
        <v>697</v>
      </c>
      <c r="C179" s="283" t="s">
        <v>697</v>
      </c>
      <c r="D179" s="287" t="s">
        <v>679</v>
      </c>
      <c r="E179" s="284" t="s">
        <v>698</v>
      </c>
      <c r="F179" s="283" t="str">
        <f>C179</f>
        <v>Joerg Schwietale</v>
      </c>
      <c r="G179" s="283" t="s">
        <v>18</v>
      </c>
      <c r="H179" s="283" t="s">
        <v>45</v>
      </c>
      <c r="I179" s="284" t="s">
        <v>699</v>
      </c>
      <c r="J179" s="290">
        <v>4501275096</v>
      </c>
      <c r="K179" s="290"/>
      <c r="L179" s="291">
        <v>45069</v>
      </c>
      <c r="M179" s="289">
        <v>46896</v>
      </c>
      <c r="N179" s="283"/>
    </row>
    <row r="180" spans="1:14" ht="15" hidden="1" customHeight="1">
      <c r="A180" s="125" t="s">
        <v>713</v>
      </c>
      <c r="B180" s="142" t="s">
        <v>714</v>
      </c>
      <c r="C180" s="142" t="s">
        <v>714</v>
      </c>
      <c r="D180" s="143" t="s">
        <v>679</v>
      </c>
      <c r="E180" s="148" t="s">
        <v>715</v>
      </c>
      <c r="G180" s="125" t="s">
        <v>67</v>
      </c>
      <c r="H180" s="154" t="s">
        <v>716</v>
      </c>
    </row>
    <row r="181" spans="1:14" ht="15" hidden="1" customHeight="1">
      <c r="A181" s="125" t="s">
        <v>73</v>
      </c>
      <c r="B181" s="142" t="s">
        <v>42</v>
      </c>
      <c r="C181" s="142" t="s">
        <v>42</v>
      </c>
      <c r="D181" s="143" t="s">
        <v>16</v>
      </c>
      <c r="E181" s="148" t="s">
        <v>74</v>
      </c>
      <c r="G181" s="125" t="s">
        <v>67</v>
      </c>
      <c r="H181" s="154" t="s">
        <v>75</v>
      </c>
      <c r="N181" s="139"/>
    </row>
    <row r="182" spans="1:14" ht="15" hidden="1" customHeight="1">
      <c r="A182" s="125" t="s">
        <v>416</v>
      </c>
      <c r="B182" s="125" t="s">
        <v>401</v>
      </c>
      <c r="C182" s="125" t="s">
        <v>402</v>
      </c>
      <c r="D182" s="143" t="s">
        <v>377</v>
      </c>
      <c r="E182" s="148" t="s">
        <v>417</v>
      </c>
      <c r="G182" s="125" t="s">
        <v>67</v>
      </c>
      <c r="H182" s="154" t="s">
        <v>418</v>
      </c>
    </row>
    <row r="183" spans="1:14" ht="15" hidden="1" customHeight="1">
      <c r="A183" s="283" t="s">
        <v>659</v>
      </c>
      <c r="B183" s="283" t="s">
        <v>660</v>
      </c>
      <c r="C183" s="283" t="s">
        <v>661</v>
      </c>
      <c r="D183" s="287" t="s">
        <v>644</v>
      </c>
      <c r="E183" s="284" t="s">
        <v>662</v>
      </c>
      <c r="F183" s="283" t="str">
        <f>C183</f>
        <v>PAKAPHAM</v>
      </c>
      <c r="G183" s="283" t="s">
        <v>18</v>
      </c>
      <c r="H183" s="283" t="s">
        <v>45</v>
      </c>
      <c r="I183" s="284" t="s">
        <v>663</v>
      </c>
      <c r="J183" s="290">
        <v>4501275096</v>
      </c>
      <c r="K183" s="290"/>
      <c r="L183" s="291">
        <v>45069</v>
      </c>
      <c r="M183" s="289">
        <v>46896</v>
      </c>
      <c r="N183" s="283"/>
    </row>
    <row r="184" spans="1:14" ht="15" hidden="1" customHeight="1">
      <c r="A184" s="283" t="s">
        <v>581</v>
      </c>
      <c r="B184" s="284" t="s">
        <v>582</v>
      </c>
      <c r="C184" s="284" t="s">
        <v>583</v>
      </c>
      <c r="D184" s="303" t="s">
        <v>150</v>
      </c>
      <c r="E184" s="304" t="s">
        <v>584</v>
      </c>
      <c r="F184" s="283" t="str">
        <f>C184</f>
        <v>ThaiyaiJ</v>
      </c>
      <c r="G184" s="283" t="s">
        <v>18</v>
      </c>
      <c r="H184" s="283" t="s">
        <v>45</v>
      </c>
      <c r="I184" s="284" t="s">
        <v>585</v>
      </c>
      <c r="J184" s="290">
        <v>4501275096</v>
      </c>
      <c r="K184" s="290"/>
      <c r="L184" s="291">
        <v>45069</v>
      </c>
      <c r="M184" s="289">
        <v>46896</v>
      </c>
      <c r="N184" s="283"/>
    </row>
    <row r="185" spans="1:14" ht="15" hidden="1" customHeight="1">
      <c r="A185" s="163" t="s">
        <v>185</v>
      </c>
      <c r="B185" s="142" t="s">
        <v>110</v>
      </c>
      <c r="C185" s="147" t="s">
        <v>186</v>
      </c>
      <c r="D185" s="143" t="s">
        <v>78</v>
      </c>
      <c r="E185" s="152" t="s">
        <v>187</v>
      </c>
      <c r="G185" s="145" t="s">
        <v>84</v>
      </c>
      <c r="H185" s="154" t="s">
        <v>188</v>
      </c>
      <c r="I185" s="145"/>
      <c r="J185" s="145"/>
      <c r="K185" s="145"/>
      <c r="L185" s="145"/>
      <c r="M185" s="145"/>
      <c r="N185" s="145"/>
    </row>
    <row r="186" spans="1:14" ht="15" hidden="1" customHeight="1">
      <c r="A186" s="283" t="s">
        <v>757</v>
      </c>
      <c r="B186" s="284" t="s">
        <v>758</v>
      </c>
      <c r="C186" s="284" t="s">
        <v>759</v>
      </c>
      <c r="D186" s="303" t="s">
        <v>627</v>
      </c>
      <c r="E186" s="284" t="s">
        <v>760</v>
      </c>
      <c r="F186" s="283" t="str">
        <f>C186</f>
        <v>HUALKASK</v>
      </c>
      <c r="G186" s="283" t="s">
        <v>18</v>
      </c>
      <c r="H186" s="283" t="s">
        <v>45</v>
      </c>
      <c r="I186" s="284" t="s">
        <v>761</v>
      </c>
      <c r="J186" s="290">
        <v>4501275096</v>
      </c>
      <c r="K186" s="290"/>
      <c r="L186" s="291">
        <v>45069</v>
      </c>
      <c r="M186" s="289">
        <v>46896</v>
      </c>
      <c r="N186" s="283"/>
    </row>
    <row r="187" spans="1:14" ht="15" hidden="1" customHeight="1">
      <c r="A187" s="283" t="s">
        <v>53</v>
      </c>
      <c r="B187" s="284" t="s">
        <v>54</v>
      </c>
      <c r="C187" s="283" t="s">
        <v>55</v>
      </c>
      <c r="D187" s="287" t="s">
        <v>16</v>
      </c>
      <c r="E187" s="284" t="s">
        <v>56</v>
      </c>
      <c r="F187" s="283" t="s">
        <v>55</v>
      </c>
      <c r="G187" s="283" t="s">
        <v>18</v>
      </c>
      <c r="H187" s="283" t="s">
        <v>45</v>
      </c>
      <c r="I187" s="284" t="s">
        <v>57</v>
      </c>
      <c r="J187" s="290">
        <v>4501275096</v>
      </c>
      <c r="K187" s="290"/>
      <c r="L187" s="291">
        <v>45069</v>
      </c>
      <c r="M187" s="289">
        <v>46896</v>
      </c>
      <c r="N187" s="283"/>
    </row>
    <row r="188" spans="1:14" ht="15" customHeight="1">
      <c r="A188" s="188" t="s">
        <v>130</v>
      </c>
      <c r="B188" s="142" t="s">
        <v>131</v>
      </c>
      <c r="C188" s="150" t="s">
        <v>132</v>
      </c>
      <c r="D188" s="139" t="s">
        <v>78</v>
      </c>
      <c r="E188" s="139" t="s">
        <v>133</v>
      </c>
      <c r="G188" s="125" t="s">
        <v>18</v>
      </c>
      <c r="H188" s="125" t="s">
        <v>45</v>
      </c>
      <c r="I188" s="139" t="s">
        <v>134</v>
      </c>
      <c r="J188" s="129"/>
      <c r="K188" s="129"/>
      <c r="L188" s="130">
        <v>45536</v>
      </c>
      <c r="M188" s="136">
        <v>47362</v>
      </c>
    </row>
    <row r="189" spans="1:14" ht="15" hidden="1" customHeight="1">
      <c r="A189" s="283" t="s">
        <v>590</v>
      </c>
      <c r="B189" s="286" t="s">
        <v>591</v>
      </c>
      <c r="C189" s="283" t="s">
        <v>592</v>
      </c>
      <c r="D189" s="303" t="s">
        <v>150</v>
      </c>
      <c r="E189" s="304" t="s">
        <v>593</v>
      </c>
      <c r="F189" s="283" t="s">
        <v>592</v>
      </c>
      <c r="G189" s="283" t="s">
        <v>18</v>
      </c>
      <c r="H189" s="283" t="s">
        <v>45</v>
      </c>
      <c r="I189" s="284" t="s">
        <v>594</v>
      </c>
      <c r="J189" s="290"/>
      <c r="K189" s="290"/>
      <c r="L189" s="291">
        <v>45536</v>
      </c>
      <c r="M189" s="289">
        <v>47362</v>
      </c>
      <c r="N189" s="283" t="s">
        <v>342</v>
      </c>
    </row>
    <row r="190" spans="1:14" ht="15" hidden="1" customHeight="1">
      <c r="A190" s="283" t="s">
        <v>554</v>
      </c>
      <c r="B190" s="283" t="s">
        <v>555</v>
      </c>
      <c r="C190" s="284" t="s">
        <v>556</v>
      </c>
      <c r="D190" s="303" t="s">
        <v>511</v>
      </c>
      <c r="E190" s="284" t="s">
        <v>557</v>
      </c>
      <c r="F190" s="284" t="s">
        <v>556</v>
      </c>
      <c r="G190" s="283" t="s">
        <v>18</v>
      </c>
      <c r="H190" s="283" t="s">
        <v>340</v>
      </c>
      <c r="I190" s="284" t="s">
        <v>558</v>
      </c>
      <c r="J190" s="290"/>
      <c r="K190" s="290"/>
      <c r="L190" s="291">
        <v>45536</v>
      </c>
      <c r="M190" s="289">
        <v>47362</v>
      </c>
      <c r="N190" s="283"/>
    </row>
    <row r="191" spans="1:14" ht="15" hidden="1" customHeight="1">
      <c r="A191" s="285" t="s">
        <v>338</v>
      </c>
      <c r="B191" s="297" t="s">
        <v>543</v>
      </c>
      <c r="C191" s="285" t="s">
        <v>15</v>
      </c>
      <c r="D191" s="305" t="s">
        <v>259</v>
      </c>
      <c r="E191" s="285" t="s">
        <v>339</v>
      </c>
      <c r="F191" s="285" t="s">
        <v>15</v>
      </c>
      <c r="G191" s="283" t="s">
        <v>18</v>
      </c>
      <c r="H191" s="283" t="s">
        <v>340</v>
      </c>
      <c r="I191" s="284" t="s">
        <v>341</v>
      </c>
      <c r="J191" s="290"/>
      <c r="K191" s="290"/>
      <c r="L191" s="291">
        <v>45536</v>
      </c>
      <c r="M191" s="289">
        <v>47362</v>
      </c>
      <c r="N191" s="283" t="s">
        <v>342</v>
      </c>
    </row>
    <row r="192" spans="1:14" ht="15" hidden="1" customHeight="1">
      <c r="A192" s="283" t="s">
        <v>411</v>
      </c>
      <c r="B192" s="286" t="s">
        <v>412</v>
      </c>
      <c r="C192" s="286" t="s">
        <v>412</v>
      </c>
      <c r="D192" s="303" t="s">
        <v>377</v>
      </c>
      <c r="E192" s="284" t="s">
        <v>413</v>
      </c>
      <c r="F192" s="284" t="s">
        <v>414</v>
      </c>
      <c r="G192" s="283" t="s">
        <v>18</v>
      </c>
      <c r="H192" s="283" t="s">
        <v>340</v>
      </c>
      <c r="I192" s="284" t="s">
        <v>415</v>
      </c>
      <c r="J192" s="290"/>
      <c r="K192" s="290"/>
      <c r="L192" s="291">
        <v>45536</v>
      </c>
      <c r="M192" s="289">
        <v>47362</v>
      </c>
      <c r="N192" s="283" t="s">
        <v>342</v>
      </c>
    </row>
    <row r="193" spans="1:14" ht="15" hidden="1" customHeight="1">
      <c r="A193" s="125" t="s">
        <v>324</v>
      </c>
      <c r="B193" s="142" t="s">
        <v>14</v>
      </c>
      <c r="C193" s="142" t="s">
        <v>14</v>
      </c>
      <c r="D193" s="143" t="s">
        <v>259</v>
      </c>
      <c r="G193" s="125" t="s">
        <v>67</v>
      </c>
      <c r="H193" s="154" t="s">
        <v>325</v>
      </c>
    </row>
    <row r="194" spans="1:14" ht="15" hidden="1" customHeight="1">
      <c r="A194" s="283" t="s">
        <v>214</v>
      </c>
      <c r="B194" s="283" t="s">
        <v>215</v>
      </c>
      <c r="C194" s="284" t="s">
        <v>216</v>
      </c>
      <c r="D194" s="303" t="s">
        <v>160</v>
      </c>
      <c r="E194" s="283" t="s">
        <v>217</v>
      </c>
      <c r="F194" s="283" t="s">
        <v>216</v>
      </c>
      <c r="G194" s="283" t="s">
        <v>18</v>
      </c>
      <c r="H194" s="283" t="s">
        <v>218</v>
      </c>
      <c r="I194" s="284" t="s">
        <v>219</v>
      </c>
      <c r="J194" s="290">
        <v>4501489837</v>
      </c>
      <c r="K194" s="290"/>
      <c r="L194" s="291">
        <v>45620</v>
      </c>
      <c r="M194" s="289"/>
      <c r="N194" s="283"/>
    </row>
    <row r="195" spans="1:14" ht="15" hidden="1" customHeight="1">
      <c r="A195" s="283" t="s">
        <v>664</v>
      </c>
      <c r="B195" s="283" t="s">
        <v>665</v>
      </c>
      <c r="C195" s="283" t="s">
        <v>666</v>
      </c>
      <c r="D195" s="287" t="s">
        <v>644</v>
      </c>
      <c r="E195" s="284" t="s">
        <v>667</v>
      </c>
      <c r="F195" s="283" t="s">
        <v>668</v>
      </c>
      <c r="G195" s="283" t="s">
        <v>18</v>
      </c>
      <c r="H195" s="283" t="s">
        <v>138</v>
      </c>
      <c r="I195" s="283" t="s">
        <v>669</v>
      </c>
      <c r="J195" s="290"/>
      <c r="K195" s="290"/>
      <c r="L195" s="291"/>
      <c r="M195" s="289"/>
      <c r="N195" s="283"/>
    </row>
    <row r="196" spans="1:14" ht="15" customHeight="1">
      <c r="A196" s="188" t="s">
        <v>135</v>
      </c>
      <c r="B196" s="125" t="s">
        <v>543</v>
      </c>
      <c r="C196" s="344" t="s">
        <v>136</v>
      </c>
      <c r="D196" s="125" t="s">
        <v>78</v>
      </c>
      <c r="E196" s="139" t="s">
        <v>137</v>
      </c>
      <c r="G196" s="125" t="s">
        <v>18</v>
      </c>
      <c r="H196" s="125" t="s">
        <v>138</v>
      </c>
      <c r="I196" s="139" t="s">
        <v>139</v>
      </c>
      <c r="J196" s="129"/>
      <c r="K196" s="129"/>
      <c r="L196" s="130"/>
      <c r="M196" s="136"/>
    </row>
    <row r="197" spans="1:14" ht="15" hidden="1" customHeight="1">
      <c r="A197" s="283" t="s">
        <v>595</v>
      </c>
      <c r="B197" s="283" t="s">
        <v>596</v>
      </c>
      <c r="C197" s="283" t="s">
        <v>597</v>
      </c>
      <c r="D197" s="287" t="s">
        <v>150</v>
      </c>
      <c r="E197" s="304" t="s">
        <v>598</v>
      </c>
      <c r="F197" s="283" t="s">
        <v>599</v>
      </c>
      <c r="G197" s="283" t="s">
        <v>18</v>
      </c>
      <c r="H197" s="283" t="s">
        <v>138</v>
      </c>
      <c r="I197" s="283" t="s">
        <v>600</v>
      </c>
      <c r="J197" s="290"/>
      <c r="K197" s="290"/>
      <c r="L197" s="291"/>
      <c r="M197" s="289"/>
      <c r="N197" s="283"/>
    </row>
    <row r="198" spans="1:14" ht="15" hidden="1" customHeight="1">
      <c r="A198" s="283" t="s">
        <v>700</v>
      </c>
      <c r="B198" s="283" t="s">
        <v>701</v>
      </c>
      <c r="C198" s="283" t="s">
        <v>551</v>
      </c>
      <c r="D198" s="287" t="s">
        <v>679</v>
      </c>
      <c r="E198" s="284" t="s">
        <v>702</v>
      </c>
      <c r="F198" s="283" t="s">
        <v>551</v>
      </c>
      <c r="G198" s="283" t="s">
        <v>18</v>
      </c>
      <c r="H198" s="283" t="s">
        <v>138</v>
      </c>
      <c r="I198" s="283" t="s">
        <v>703</v>
      </c>
      <c r="J198" s="290"/>
      <c r="K198" s="290"/>
      <c r="L198" s="291"/>
      <c r="M198" s="289"/>
      <c r="N198" s="283"/>
    </row>
    <row r="199" spans="1:14" ht="15" hidden="1" customHeight="1">
      <c r="A199" s="283" t="s">
        <v>704</v>
      </c>
      <c r="B199" s="306" t="s">
        <v>705</v>
      </c>
      <c r="C199" s="283" t="s">
        <v>706</v>
      </c>
      <c r="D199" s="287" t="s">
        <v>679</v>
      </c>
      <c r="E199" s="284" t="s">
        <v>707</v>
      </c>
      <c r="F199" s="283" t="s">
        <v>706</v>
      </c>
      <c r="G199" s="283" t="s">
        <v>18</v>
      </c>
      <c r="H199" s="283" t="s">
        <v>138</v>
      </c>
      <c r="I199" s="283" t="s">
        <v>708</v>
      </c>
      <c r="J199" s="290"/>
      <c r="K199" s="290"/>
      <c r="L199" s="291"/>
      <c r="M199" s="289"/>
      <c r="N199" s="283"/>
    </row>
    <row r="200" spans="1:14" ht="15" hidden="1" customHeight="1">
      <c r="A200" s="283" t="s">
        <v>343</v>
      </c>
      <c r="B200" s="286" t="s">
        <v>158</v>
      </c>
      <c r="C200" s="307" t="s">
        <v>159</v>
      </c>
      <c r="D200" s="287" t="s">
        <v>227</v>
      </c>
      <c r="E200" s="307" t="s">
        <v>344</v>
      </c>
      <c r="F200" s="283"/>
      <c r="G200" s="283" t="s">
        <v>18</v>
      </c>
      <c r="H200" s="283" t="s">
        <v>63</v>
      </c>
      <c r="I200" s="283" t="s">
        <v>345</v>
      </c>
      <c r="J200" s="290">
        <v>4501580024</v>
      </c>
      <c r="K200" s="283" t="s">
        <v>286</v>
      </c>
      <c r="L200" s="308">
        <v>45855</v>
      </c>
      <c r="M200" s="283"/>
      <c r="N200" s="283"/>
    </row>
    <row r="201" spans="1:14" ht="15" hidden="1" customHeight="1">
      <c r="A201" s="125" t="s">
        <v>326</v>
      </c>
      <c r="B201" s="142" t="s">
        <v>327</v>
      </c>
      <c r="C201" s="142" t="s">
        <v>327</v>
      </c>
      <c r="D201" s="143" t="s">
        <v>259</v>
      </c>
      <c r="G201" s="125" t="s">
        <v>67</v>
      </c>
      <c r="H201" s="154" t="s">
        <v>328</v>
      </c>
    </row>
    <row r="202" spans="1:14" ht="15" hidden="1" customHeight="1">
      <c r="A202" s="125" t="s">
        <v>419</v>
      </c>
      <c r="B202" s="142" t="s">
        <v>375</v>
      </c>
      <c r="C202" s="142" t="s">
        <v>375</v>
      </c>
      <c r="D202" s="143" t="s">
        <v>377</v>
      </c>
      <c r="E202" s="148" t="s">
        <v>420</v>
      </c>
      <c r="G202" s="125" t="s">
        <v>67</v>
      </c>
      <c r="H202" s="154" t="s">
        <v>75</v>
      </c>
    </row>
    <row r="203" spans="1:14" ht="15" hidden="1" customHeight="1">
      <c r="A203" s="163" t="s">
        <v>189</v>
      </c>
      <c r="B203" s="142" t="s">
        <v>110</v>
      </c>
      <c r="C203" s="147" t="s">
        <v>186</v>
      </c>
      <c r="D203" s="143" t="s">
        <v>78</v>
      </c>
      <c r="E203" s="152" t="s">
        <v>190</v>
      </c>
      <c r="G203" s="145" t="s">
        <v>84</v>
      </c>
      <c r="H203" s="154" t="s">
        <v>188</v>
      </c>
      <c r="I203" s="145"/>
      <c r="J203" s="145"/>
      <c r="K203" s="145"/>
      <c r="L203" s="145"/>
      <c r="M203" s="145"/>
      <c r="N203" s="145"/>
    </row>
    <row r="204" spans="1:14" ht="15" hidden="1" customHeight="1">
      <c r="A204" s="283" t="s">
        <v>346</v>
      </c>
      <c r="B204" s="309" t="s">
        <v>347</v>
      </c>
      <c r="C204" s="307" t="s">
        <v>348</v>
      </c>
      <c r="D204" s="287" t="s">
        <v>272</v>
      </c>
      <c r="E204" s="307" t="s">
        <v>349</v>
      </c>
      <c r="F204" s="307" t="s">
        <v>348</v>
      </c>
      <c r="G204" s="283" t="s">
        <v>18</v>
      </c>
      <c r="H204" s="283" t="s">
        <v>63</v>
      </c>
      <c r="I204" s="283" t="s">
        <v>350</v>
      </c>
      <c r="J204" s="290">
        <v>4501580024</v>
      </c>
      <c r="K204" s="283" t="s">
        <v>286</v>
      </c>
      <c r="L204" s="308">
        <v>45855</v>
      </c>
      <c r="M204" s="283"/>
      <c r="N204" s="283"/>
    </row>
    <row r="205" spans="1:14" ht="15" hidden="1" customHeight="1">
      <c r="A205" s="283" t="s">
        <v>351</v>
      </c>
      <c r="B205" s="297" t="s">
        <v>543</v>
      </c>
      <c r="C205" s="286" t="s">
        <v>352</v>
      </c>
      <c r="D205" s="287" t="s">
        <v>272</v>
      </c>
      <c r="E205" s="290" t="s">
        <v>353</v>
      </c>
      <c r="F205" s="283"/>
      <c r="G205" s="283" t="s">
        <v>18</v>
      </c>
      <c r="H205" s="283" t="s">
        <v>63</v>
      </c>
      <c r="I205" s="283" t="s">
        <v>354</v>
      </c>
      <c r="J205" s="290">
        <v>4501580024</v>
      </c>
      <c r="K205" s="283" t="s">
        <v>286</v>
      </c>
      <c r="L205" s="308">
        <v>45855</v>
      </c>
      <c r="M205" s="283"/>
      <c r="N205" s="283"/>
    </row>
    <row r="206" spans="1:14" ht="15" hidden="1" customHeight="1">
      <c r="A206" s="283" t="s">
        <v>355</v>
      </c>
      <c r="B206" s="307" t="s">
        <v>295</v>
      </c>
      <c r="C206" s="307" t="s">
        <v>296</v>
      </c>
      <c r="D206" s="287" t="s">
        <v>272</v>
      </c>
      <c r="E206" s="307" t="s">
        <v>356</v>
      </c>
      <c r="F206" s="283"/>
      <c r="G206" s="283" t="s">
        <v>18</v>
      </c>
      <c r="H206" s="283" t="s">
        <v>63</v>
      </c>
      <c r="I206" s="283" t="s">
        <v>357</v>
      </c>
      <c r="J206" s="290">
        <v>4501580024</v>
      </c>
      <c r="K206" s="283" t="s">
        <v>286</v>
      </c>
      <c r="L206" s="308">
        <v>45855</v>
      </c>
      <c r="M206" s="283"/>
      <c r="N206" s="283"/>
    </row>
    <row r="207" spans="1:14" ht="15" hidden="1" customHeight="1">
      <c r="A207" s="283" t="s">
        <v>358</v>
      </c>
      <c r="B207" s="307" t="s">
        <v>305</v>
      </c>
      <c r="C207" s="307" t="s">
        <v>306</v>
      </c>
      <c r="D207" s="287" t="s">
        <v>272</v>
      </c>
      <c r="E207" s="307" t="s">
        <v>359</v>
      </c>
      <c r="F207" s="283"/>
      <c r="G207" s="283" t="s">
        <v>18</v>
      </c>
      <c r="H207" s="283" t="s">
        <v>63</v>
      </c>
      <c r="I207" s="283" t="s">
        <v>360</v>
      </c>
      <c r="J207" s="290">
        <v>4501580024</v>
      </c>
      <c r="K207" s="283" t="s">
        <v>286</v>
      </c>
      <c r="L207" s="308">
        <v>45855</v>
      </c>
      <c r="M207" s="283"/>
      <c r="N207" s="283"/>
    </row>
    <row r="208" spans="1:14" ht="15" hidden="1" customHeight="1">
      <c r="A208" s="125" t="s">
        <v>421</v>
      </c>
      <c r="B208" s="142" t="s">
        <v>412</v>
      </c>
      <c r="C208" s="142" t="s">
        <v>412</v>
      </c>
      <c r="D208" s="143" t="s">
        <v>377</v>
      </c>
      <c r="E208" s="148" t="s">
        <v>422</v>
      </c>
      <c r="G208" s="125" t="s">
        <v>67</v>
      </c>
      <c r="H208" s="154" t="s">
        <v>423</v>
      </c>
    </row>
    <row r="209" spans="1:14" ht="15" hidden="1" customHeight="1">
      <c r="A209" s="125" t="s">
        <v>601</v>
      </c>
      <c r="B209" s="142" t="s">
        <v>582</v>
      </c>
      <c r="C209" s="142" t="s">
        <v>582</v>
      </c>
      <c r="D209" s="143" t="s">
        <v>150</v>
      </c>
      <c r="E209" s="148" t="s">
        <v>602</v>
      </c>
      <c r="F209" s="125" t="str">
        <f>C209</f>
        <v>Thaiyai, Jeeranun</v>
      </c>
      <c r="G209" s="125" t="s">
        <v>67</v>
      </c>
      <c r="H209" s="154" t="s">
        <v>603</v>
      </c>
    </row>
    <row r="210" spans="1:14" ht="15" hidden="1" customHeight="1">
      <c r="A210" s="283" t="s">
        <v>361</v>
      </c>
      <c r="B210" s="307" t="s">
        <v>362</v>
      </c>
      <c r="C210" s="307" t="s">
        <v>311</v>
      </c>
      <c r="D210" s="287" t="s">
        <v>272</v>
      </c>
      <c r="E210" s="307" t="s">
        <v>363</v>
      </c>
      <c r="F210" s="283"/>
      <c r="G210" s="283" t="s">
        <v>18</v>
      </c>
      <c r="H210" s="283" t="s">
        <v>63</v>
      </c>
      <c r="I210" s="283" t="s">
        <v>364</v>
      </c>
      <c r="J210" s="290">
        <v>4501580024</v>
      </c>
      <c r="K210" s="283" t="s">
        <v>286</v>
      </c>
      <c r="L210" s="308">
        <v>45855</v>
      </c>
      <c r="M210" s="283"/>
      <c r="N210" s="283"/>
    </row>
    <row r="211" spans="1:14" ht="15" hidden="1" customHeight="1">
      <c r="A211" s="283" t="s">
        <v>365</v>
      </c>
      <c r="B211" s="307" t="s">
        <v>257</v>
      </c>
      <c r="C211" s="307" t="s">
        <v>258</v>
      </c>
      <c r="D211" s="287" t="s">
        <v>272</v>
      </c>
      <c r="E211" s="307" t="s">
        <v>366</v>
      </c>
      <c r="F211" s="283"/>
      <c r="G211" s="283" t="s">
        <v>18</v>
      </c>
      <c r="H211" s="283" t="s">
        <v>63</v>
      </c>
      <c r="I211" s="283" t="s">
        <v>367</v>
      </c>
      <c r="J211" s="290">
        <v>4501580024</v>
      </c>
      <c r="K211" s="283" t="s">
        <v>286</v>
      </c>
      <c r="L211" s="308">
        <v>45855</v>
      </c>
      <c r="M211" s="283"/>
      <c r="N211" s="283"/>
    </row>
    <row r="212" spans="1:14" ht="15" hidden="1" customHeight="1">
      <c r="A212" s="125" t="s">
        <v>167</v>
      </c>
      <c r="B212" s="142" t="s">
        <v>136</v>
      </c>
      <c r="C212" s="142" t="s">
        <v>136</v>
      </c>
      <c r="D212" s="143" t="s">
        <v>78</v>
      </c>
      <c r="E212" s="152" t="s">
        <v>168</v>
      </c>
      <c r="G212" s="145" t="s">
        <v>84</v>
      </c>
      <c r="H212" s="125" t="s">
        <v>166</v>
      </c>
    </row>
    <row r="213" spans="1:14" ht="15" hidden="1" customHeight="1">
      <c r="A213" s="283" t="s">
        <v>368</v>
      </c>
      <c r="B213" s="307" t="s">
        <v>14</v>
      </c>
      <c r="C213" s="307" t="s">
        <v>15</v>
      </c>
      <c r="D213" s="287" t="s">
        <v>272</v>
      </c>
      <c r="E213" s="283" t="s">
        <v>369</v>
      </c>
      <c r="F213" s="283"/>
      <c r="G213" s="283" t="s">
        <v>18</v>
      </c>
      <c r="H213" s="283" t="s">
        <v>63</v>
      </c>
      <c r="I213" s="283" t="s">
        <v>370</v>
      </c>
      <c r="J213" s="290">
        <v>4501580024</v>
      </c>
      <c r="K213" s="283" t="s">
        <v>286</v>
      </c>
      <c r="L213" s="308">
        <v>45855</v>
      </c>
      <c r="M213" s="283"/>
      <c r="N213" s="283"/>
    </row>
    <row r="214" spans="1:14" ht="15" hidden="1" customHeight="1">
      <c r="A214" s="283" t="s">
        <v>58</v>
      </c>
      <c r="B214" s="283" t="s">
        <v>59</v>
      </c>
      <c r="C214" s="283" t="s">
        <v>60</v>
      </c>
      <c r="D214" s="310" t="s">
        <v>16</v>
      </c>
      <c r="E214" s="311" t="s">
        <v>61</v>
      </c>
      <c r="F214" s="307" t="s">
        <v>62</v>
      </c>
      <c r="G214" s="283" t="s">
        <v>18</v>
      </c>
      <c r="H214" s="283" t="s">
        <v>63</v>
      </c>
      <c r="I214" s="283" t="s">
        <v>64</v>
      </c>
      <c r="J214" s="290">
        <v>4501582368</v>
      </c>
      <c r="K214" s="283" t="s">
        <v>65</v>
      </c>
      <c r="L214" s="308">
        <v>45855</v>
      </c>
      <c r="M214" s="283"/>
      <c r="N214" s="283"/>
    </row>
    <row r="215" spans="1:14" ht="15" hidden="1" customHeight="1">
      <c r="A215" s="283" t="s">
        <v>559</v>
      </c>
      <c r="B215" s="283" t="s">
        <v>1391</v>
      </c>
      <c r="C215" s="283" t="s">
        <v>15</v>
      </c>
      <c r="D215" s="310" t="s">
        <v>227</v>
      </c>
      <c r="E215" s="311" t="s">
        <v>561</v>
      </c>
      <c r="F215" s="307" t="s">
        <v>562</v>
      </c>
      <c r="G215" s="283" t="s">
        <v>18</v>
      </c>
      <c r="H215" s="283" t="s">
        <v>63</v>
      </c>
      <c r="I215" s="283" t="s">
        <v>563</v>
      </c>
      <c r="J215" s="290">
        <v>4501582368</v>
      </c>
      <c r="K215" s="283" t="s">
        <v>65</v>
      </c>
      <c r="L215" s="308">
        <v>45855</v>
      </c>
      <c r="M215" s="283"/>
      <c r="N215" s="283"/>
    </row>
    <row r="216" spans="1:14" ht="15" hidden="1" customHeight="1">
      <c r="A216" s="312" t="s">
        <v>564</v>
      </c>
      <c r="B216" s="297" t="s">
        <v>543</v>
      </c>
      <c r="C216" s="312" t="s">
        <v>560</v>
      </c>
      <c r="D216" s="314" t="s">
        <v>511</v>
      </c>
      <c r="E216" s="315" t="s">
        <v>565</v>
      </c>
      <c r="F216" s="313" t="s">
        <v>566</v>
      </c>
      <c r="G216" s="312" t="s">
        <v>18</v>
      </c>
      <c r="H216" s="312" t="s">
        <v>63</v>
      </c>
      <c r="I216" s="312" t="s">
        <v>567</v>
      </c>
      <c r="J216" s="316">
        <v>4501582368</v>
      </c>
      <c r="K216" s="312" t="s">
        <v>65</v>
      </c>
      <c r="L216" s="317">
        <v>45855</v>
      </c>
      <c r="M216" s="312"/>
      <c r="N216" s="312"/>
    </row>
    <row r="217" spans="1:14" ht="15" hidden="1" customHeight="1">
      <c r="A217" s="312" t="s">
        <v>568</v>
      </c>
      <c r="B217" s="297" t="s">
        <v>543</v>
      </c>
      <c r="C217" s="312" t="s">
        <v>560</v>
      </c>
      <c r="D217" s="314" t="s">
        <v>511</v>
      </c>
      <c r="E217" s="315" t="s">
        <v>569</v>
      </c>
      <c r="F217" s="313" t="s">
        <v>570</v>
      </c>
      <c r="G217" s="312" t="s">
        <v>18</v>
      </c>
      <c r="H217" s="312" t="s">
        <v>63</v>
      </c>
      <c r="I217" s="312" t="s">
        <v>571</v>
      </c>
      <c r="J217" s="316">
        <v>4501582368</v>
      </c>
      <c r="K217" s="312" t="s">
        <v>65</v>
      </c>
      <c r="L217" s="317">
        <v>45855</v>
      </c>
      <c r="M217" s="312"/>
      <c r="N217" s="312"/>
    </row>
    <row r="218" spans="1:14" s="127" customFormat="1" ht="15" hidden="1" customHeight="1">
      <c r="A218" s="162" t="s">
        <v>329</v>
      </c>
      <c r="B218" s="231" t="s">
        <v>330</v>
      </c>
      <c r="C218" s="231" t="s">
        <v>330</v>
      </c>
      <c r="D218" s="232" t="s">
        <v>259</v>
      </c>
      <c r="E218" s="246" t="s">
        <v>331</v>
      </c>
      <c r="F218" s="161"/>
      <c r="G218" s="161" t="s">
        <v>67</v>
      </c>
      <c r="H218" s="235" t="s">
        <v>332</v>
      </c>
      <c r="K218" s="161"/>
    </row>
    <row r="219" spans="1:14" ht="15" hidden="1" customHeight="1">
      <c r="A219" s="125" t="s">
        <v>371</v>
      </c>
      <c r="B219" s="142" t="s">
        <v>288</v>
      </c>
      <c r="C219" s="142" t="s">
        <v>288</v>
      </c>
      <c r="D219" s="143" t="s">
        <v>272</v>
      </c>
      <c r="E219" s="148" t="s">
        <v>372</v>
      </c>
      <c r="G219" s="125" t="s">
        <v>67</v>
      </c>
      <c r="H219" s="154" t="s">
        <v>373</v>
      </c>
    </row>
    <row r="220" spans="1:14" ht="15" hidden="1" customHeight="1">
      <c r="A220" s="125" t="s">
        <v>670</v>
      </c>
      <c r="B220" s="142" t="s">
        <v>642</v>
      </c>
      <c r="C220" s="142" t="s">
        <v>642</v>
      </c>
      <c r="D220" s="143" t="s">
        <v>644</v>
      </c>
      <c r="E220" s="148" t="s">
        <v>671</v>
      </c>
      <c r="G220" s="125" t="s">
        <v>67</v>
      </c>
      <c r="H220" s="154" t="s">
        <v>672</v>
      </c>
    </row>
    <row r="221" spans="1:14" ht="15" hidden="1" customHeight="1">
      <c r="A221" s="125" t="s">
        <v>673</v>
      </c>
      <c r="B221" s="142" t="s">
        <v>660</v>
      </c>
      <c r="C221" s="142" t="s">
        <v>660</v>
      </c>
      <c r="D221" s="143" t="s">
        <v>644</v>
      </c>
      <c r="E221" s="148" t="s">
        <v>674</v>
      </c>
      <c r="G221" s="125" t="s">
        <v>67</v>
      </c>
      <c r="H221" s="154" t="s">
        <v>675</v>
      </c>
    </row>
    <row r="222" spans="1:14" ht="15" hidden="1" customHeight="1">
      <c r="A222" s="125" t="s">
        <v>604</v>
      </c>
      <c r="B222" s="142" t="s">
        <v>591</v>
      </c>
      <c r="C222" s="142" t="s">
        <v>591</v>
      </c>
      <c r="D222" s="143" t="s">
        <v>150</v>
      </c>
      <c r="G222" s="125" t="s">
        <v>67</v>
      </c>
      <c r="H222" s="154" t="s">
        <v>605</v>
      </c>
    </row>
    <row r="223" spans="1:14" s="127" customFormat="1" ht="15" hidden="1" customHeight="1">
      <c r="A223" s="162" t="s">
        <v>606</v>
      </c>
      <c r="B223" s="231" t="s">
        <v>607</v>
      </c>
      <c r="C223" s="231" t="s">
        <v>607</v>
      </c>
      <c r="D223" s="232" t="s">
        <v>150</v>
      </c>
      <c r="E223" s="246" t="s">
        <v>608</v>
      </c>
      <c r="F223" s="161"/>
      <c r="G223" s="161" t="s">
        <v>67</v>
      </c>
      <c r="H223" s="235" t="s">
        <v>609</v>
      </c>
      <c r="K223" s="161"/>
    </row>
    <row r="224" spans="1:14" ht="15" hidden="1" customHeight="1">
      <c r="A224" s="204" t="s">
        <v>637</v>
      </c>
      <c r="B224" s="204" t="s">
        <v>148</v>
      </c>
      <c r="C224" s="204" t="s">
        <v>638</v>
      </c>
      <c r="D224" s="205" t="s">
        <v>150</v>
      </c>
      <c r="E224" s="206"/>
      <c r="F224" s="204" t="s">
        <v>638</v>
      </c>
      <c r="G224" s="204" t="s">
        <v>152</v>
      </c>
      <c r="H224" s="204" t="s">
        <v>639</v>
      </c>
      <c r="I224" s="204"/>
      <c r="J224" s="206"/>
      <c r="K224" s="206"/>
      <c r="L224" s="207"/>
      <c r="M224" s="204"/>
      <c r="N224" s="204" t="s">
        <v>640</v>
      </c>
    </row>
    <row r="225" spans="1:14" s="127" customFormat="1" ht="15" hidden="1" customHeight="1">
      <c r="A225" s="192" t="s">
        <v>572</v>
      </c>
      <c r="B225" s="131" t="s">
        <v>573</v>
      </c>
      <c r="C225" s="131"/>
      <c r="D225" s="244" t="s">
        <v>511</v>
      </c>
      <c r="E225" s="193"/>
      <c r="F225" s="194" t="s">
        <v>574</v>
      </c>
      <c r="G225" s="161" t="s">
        <v>575</v>
      </c>
      <c r="H225" s="195" t="s">
        <v>576</v>
      </c>
      <c r="I225" s="131" t="s">
        <v>577</v>
      </c>
      <c r="J225" s="252"/>
      <c r="K225" s="196"/>
      <c r="L225" s="254"/>
      <c r="M225" s="131"/>
      <c r="N225" s="131"/>
    </row>
    <row r="226" spans="1:14" s="127" customFormat="1" ht="15" hidden="1" customHeight="1">
      <c r="A226" s="125"/>
      <c r="B226" s="142"/>
      <c r="C226" s="125"/>
      <c r="D226" s="143"/>
      <c r="E226" s="166"/>
      <c r="F226" s="125"/>
      <c r="G226" s="125"/>
      <c r="H226" s="167"/>
      <c r="I226" s="125"/>
      <c r="J226" s="125"/>
      <c r="K226" s="125"/>
      <c r="L226" s="125"/>
      <c r="M226" s="125"/>
      <c r="N226" s="125"/>
    </row>
    <row r="227" spans="1:14" s="127" customFormat="1" ht="15" hidden="1" customHeight="1">
      <c r="A227" s="125"/>
      <c r="B227" s="142"/>
      <c r="C227" s="125"/>
      <c r="D227" s="143"/>
      <c r="E227" s="168"/>
      <c r="F227" s="125"/>
      <c r="G227" s="125"/>
      <c r="H227" s="168"/>
      <c r="I227" s="125"/>
      <c r="J227" s="125"/>
      <c r="K227" s="125"/>
      <c r="L227" s="125"/>
      <c r="M227" s="125"/>
      <c r="N227" s="125"/>
    </row>
    <row r="228" spans="1:14" s="127" customFormat="1" ht="15" hidden="1" customHeight="1">
      <c r="A228" s="125"/>
      <c r="B228" s="142"/>
      <c r="C228" s="125"/>
      <c r="D228" s="143"/>
      <c r="E228" s="168"/>
      <c r="F228" s="125"/>
      <c r="G228" s="125"/>
      <c r="H228" s="168"/>
      <c r="I228" s="125"/>
      <c r="J228" s="125"/>
      <c r="K228" s="125"/>
      <c r="L228" s="125"/>
      <c r="M228" s="125"/>
      <c r="N228" s="125"/>
    </row>
    <row r="229" spans="1:14" s="127" customFormat="1" ht="15" hidden="1" customHeight="1">
      <c r="A229" s="125"/>
      <c r="B229" s="142"/>
      <c r="C229" s="125"/>
      <c r="D229" s="151"/>
      <c r="H229" s="158"/>
      <c r="I229" s="125"/>
      <c r="J229" s="125"/>
      <c r="K229" s="125"/>
      <c r="L229" s="125"/>
      <c r="M229" s="125"/>
      <c r="N229" s="125"/>
    </row>
    <row r="230" spans="1:14" s="127" customFormat="1" ht="15" hidden="1" customHeight="1">
      <c r="A230" s="125"/>
      <c r="B230" s="142"/>
      <c r="C230" s="125"/>
      <c r="D230" s="151"/>
      <c r="E230" s="125"/>
      <c r="F230" s="125"/>
      <c r="G230" s="125"/>
      <c r="H230" s="154"/>
      <c r="I230" s="125"/>
      <c r="J230" s="125"/>
      <c r="K230" s="125"/>
      <c r="L230" s="125"/>
      <c r="M230" s="125"/>
      <c r="N230" s="125"/>
    </row>
    <row r="231" spans="1:14" s="127" customFormat="1" ht="15" hidden="1" customHeight="1">
      <c r="A231" s="140"/>
      <c r="B231" s="156"/>
      <c r="C231" s="140"/>
      <c r="D231" s="169"/>
      <c r="E231" s="140"/>
      <c r="F231" s="140"/>
      <c r="G231" s="140"/>
      <c r="H231" s="170"/>
      <c r="I231" s="140"/>
      <c r="J231" s="140"/>
      <c r="K231" s="140"/>
      <c r="L231" s="140"/>
      <c r="M231" s="140"/>
      <c r="N231" s="140"/>
    </row>
    <row r="234" spans="1:14" ht="15" customHeight="1">
      <c r="B234" s="155"/>
    </row>
    <row r="238" spans="1:14" ht="15" customHeight="1">
      <c r="D238" s="125" t="s">
        <v>427</v>
      </c>
    </row>
  </sheetData>
  <phoneticPr fontId="4" type="noConversion"/>
  <pageMargins left="0.25" right="0.25" top="0.75" bottom="0.75" header="0.3" footer="0.3"/>
  <pageSetup orientation="landscape" horizontalDpi="300" verticalDpi="300" r:id="rId1"/>
  <headerFooter alignWithMargins="0"/>
  <customProperties>
    <customPr name="_pios_id" r:id="rId2"/>
  </customProperties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7A9545-2E76-4F81-A3F2-2FEEC8E9F2C9}">
          <x14:formula1>
            <xm:f>costcenter!$B$4:$B$27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8CA2-629F-4E09-9D3F-09A950E92A4C}">
  <sheetPr codeName="Sheet3"/>
  <dimension ref="A1:K31"/>
  <sheetViews>
    <sheetView zoomScale="115" zoomScaleNormal="115" workbookViewId="0">
      <selection activeCell="A14" sqref="A14:XFD14"/>
    </sheetView>
  </sheetViews>
  <sheetFormatPr defaultColWidth="9.140625" defaultRowHeight="12.75"/>
  <cols>
    <col min="1" max="1" width="16.5703125" style="61" customWidth="1"/>
    <col min="2" max="2" width="18.5703125" style="61" customWidth="1"/>
    <col min="3" max="3" width="18.28515625" style="61" customWidth="1"/>
    <col min="4" max="4" width="22.85546875" style="61" customWidth="1"/>
    <col min="5" max="5" width="18.140625" style="61" customWidth="1"/>
    <col min="6" max="6" width="39.5703125" style="61" customWidth="1"/>
    <col min="7" max="7" width="22.42578125" style="61" customWidth="1"/>
    <col min="8" max="8" width="25.28515625" style="61" customWidth="1"/>
    <col min="9" max="9" width="15.7109375" style="92" customWidth="1"/>
    <col min="10" max="10" width="15.7109375" style="61" customWidth="1"/>
    <col min="11" max="11" width="19.140625" style="61" customWidth="1"/>
    <col min="12" max="16384" width="9.140625" style="61"/>
  </cols>
  <sheetData>
    <row r="1" spans="1:11">
      <c r="A1" s="58" t="s">
        <v>848</v>
      </c>
      <c r="B1" s="58" t="s">
        <v>849</v>
      </c>
      <c r="C1" s="58" t="s">
        <v>850</v>
      </c>
      <c r="D1" s="58" t="s">
        <v>851</v>
      </c>
      <c r="E1" s="58" t="s">
        <v>852</v>
      </c>
      <c r="F1" s="58" t="s">
        <v>853</v>
      </c>
      <c r="G1" s="59" t="s">
        <v>854</v>
      </c>
      <c r="H1" s="58" t="s">
        <v>855</v>
      </c>
      <c r="I1" s="60" t="s">
        <v>856</v>
      </c>
      <c r="J1" s="58" t="s">
        <v>857</v>
      </c>
      <c r="K1" s="58" t="s">
        <v>858</v>
      </c>
    </row>
    <row r="2" spans="1:11" ht="15.6" customHeight="1">
      <c r="A2" s="107" t="s">
        <v>147</v>
      </c>
      <c r="B2" s="74" t="s">
        <v>151</v>
      </c>
      <c r="C2" s="75" t="s">
        <v>859</v>
      </c>
      <c r="D2" s="64" t="s">
        <v>860</v>
      </c>
      <c r="E2" s="76" t="s">
        <v>861</v>
      </c>
      <c r="F2" s="65" t="s">
        <v>862</v>
      </c>
      <c r="G2" s="77" t="s">
        <v>154</v>
      </c>
      <c r="H2" s="69" t="s">
        <v>863</v>
      </c>
      <c r="I2" s="70"/>
      <c r="J2" s="64" t="s">
        <v>864</v>
      </c>
      <c r="K2" s="78" t="s">
        <v>865</v>
      </c>
    </row>
    <row r="3" spans="1:11">
      <c r="A3" s="107" t="s">
        <v>494</v>
      </c>
      <c r="B3" s="80">
        <v>1000000505</v>
      </c>
      <c r="C3" s="75" t="s">
        <v>859</v>
      </c>
      <c r="D3" s="64" t="s">
        <v>866</v>
      </c>
      <c r="E3" s="76" t="s">
        <v>867</v>
      </c>
      <c r="F3" s="65" t="s">
        <v>491</v>
      </c>
      <c r="G3" s="77" t="s">
        <v>496</v>
      </c>
      <c r="H3" s="69" t="s">
        <v>868</v>
      </c>
      <c r="I3" s="109"/>
      <c r="J3" s="64"/>
      <c r="K3" s="64"/>
    </row>
    <row r="4" spans="1:11">
      <c r="A4" s="108" t="s">
        <v>869</v>
      </c>
      <c r="B4" s="81" t="s">
        <v>870</v>
      </c>
      <c r="C4" s="75" t="s">
        <v>859</v>
      </c>
      <c r="D4" s="82" t="s">
        <v>871</v>
      </c>
      <c r="E4" s="82" t="s">
        <v>872</v>
      </c>
      <c r="F4" s="83" t="s">
        <v>873</v>
      </c>
      <c r="G4" s="84" t="s">
        <v>874</v>
      </c>
      <c r="H4" s="82" t="s">
        <v>875</v>
      </c>
      <c r="I4" s="85"/>
      <c r="J4" s="82" t="s">
        <v>876</v>
      </c>
      <c r="K4" s="86" t="s">
        <v>877</v>
      </c>
    </row>
    <row r="5" spans="1:11">
      <c r="A5" s="107" t="s">
        <v>498</v>
      </c>
      <c r="B5" s="63" t="s">
        <v>500</v>
      </c>
      <c r="C5" s="64" t="s">
        <v>878</v>
      </c>
      <c r="D5" s="64" t="s">
        <v>879</v>
      </c>
      <c r="E5" s="64" t="s">
        <v>880</v>
      </c>
      <c r="F5" s="65" t="s">
        <v>881</v>
      </c>
      <c r="G5" s="66"/>
      <c r="H5" s="64"/>
      <c r="I5" s="67"/>
      <c r="J5" s="64"/>
      <c r="K5" s="64"/>
    </row>
    <row r="6" spans="1:11">
      <c r="A6" s="107" t="s">
        <v>504</v>
      </c>
      <c r="B6" s="63" t="s">
        <v>506</v>
      </c>
      <c r="C6" s="64" t="s">
        <v>878</v>
      </c>
      <c r="D6" s="64" t="s">
        <v>871</v>
      </c>
      <c r="E6" s="64" t="s">
        <v>882</v>
      </c>
      <c r="F6" s="68" t="s">
        <v>883</v>
      </c>
      <c r="G6" s="66"/>
      <c r="H6" s="69"/>
      <c r="I6" s="79"/>
      <c r="J6" s="64"/>
      <c r="K6" s="64"/>
    </row>
    <row r="7" spans="1:11">
      <c r="A7" s="107" t="s">
        <v>578</v>
      </c>
      <c r="B7" s="63" t="s">
        <v>579</v>
      </c>
      <c r="C7" s="64" t="s">
        <v>878</v>
      </c>
      <c r="D7" s="64" t="s">
        <v>871</v>
      </c>
      <c r="E7" s="64" t="s">
        <v>884</v>
      </c>
      <c r="F7" s="68" t="s">
        <v>883</v>
      </c>
      <c r="G7" s="66"/>
      <c r="H7" s="69"/>
      <c r="I7" s="67"/>
      <c r="J7" s="64"/>
      <c r="K7" s="64"/>
    </row>
    <row r="8" spans="1:11">
      <c r="A8" s="107" t="s">
        <v>885</v>
      </c>
      <c r="B8" s="71" t="s">
        <v>886</v>
      </c>
      <c r="C8" s="64" t="s">
        <v>878</v>
      </c>
      <c r="D8" s="64" t="s">
        <v>887</v>
      </c>
      <c r="E8" s="64" t="s">
        <v>888</v>
      </c>
      <c r="F8" s="68" t="s">
        <v>883</v>
      </c>
      <c r="G8" s="72"/>
      <c r="H8" s="73"/>
      <c r="I8" s="67"/>
      <c r="J8" s="64"/>
      <c r="K8" s="64"/>
    </row>
    <row r="9" spans="1:11">
      <c r="A9" s="107" t="s">
        <v>610</v>
      </c>
      <c r="B9" s="62">
        <v>10000000401</v>
      </c>
      <c r="C9" s="64" t="s">
        <v>889</v>
      </c>
      <c r="D9" s="64" t="s">
        <v>890</v>
      </c>
      <c r="E9" s="64" t="s">
        <v>891</v>
      </c>
      <c r="F9" s="64" t="s">
        <v>892</v>
      </c>
      <c r="G9" s="72" t="s">
        <v>618</v>
      </c>
      <c r="H9" s="64" t="s">
        <v>893</v>
      </c>
      <c r="I9" s="70"/>
      <c r="J9" s="64" t="s">
        <v>864</v>
      </c>
      <c r="K9" s="78" t="s">
        <v>894</v>
      </c>
    </row>
    <row r="10" spans="1:11">
      <c r="A10" s="210" t="s">
        <v>615</v>
      </c>
      <c r="B10" s="211">
        <v>1000000090</v>
      </c>
      <c r="C10" s="212" t="s">
        <v>895</v>
      </c>
      <c r="D10" s="213" t="s">
        <v>896</v>
      </c>
      <c r="E10" s="213" t="s">
        <v>897</v>
      </c>
      <c r="F10" s="214"/>
      <c r="G10" s="89"/>
      <c r="H10" s="69"/>
      <c r="I10" s="69" t="s">
        <v>498</v>
      </c>
      <c r="J10" s="64"/>
      <c r="K10" s="64"/>
    </row>
    <row r="11" spans="1:11">
      <c r="A11" s="106" t="s">
        <v>621</v>
      </c>
      <c r="B11" s="74">
        <v>1000000053</v>
      </c>
      <c r="C11" s="69" t="s">
        <v>895</v>
      </c>
      <c r="D11" s="64" t="s">
        <v>898</v>
      </c>
      <c r="E11" s="61" t="s">
        <v>899</v>
      </c>
      <c r="F11" s="89" t="s">
        <v>900</v>
      </c>
      <c r="G11" s="89" t="s">
        <v>623</v>
      </c>
      <c r="H11" s="64"/>
      <c r="I11" s="70"/>
      <c r="J11" s="64"/>
      <c r="K11" s="64"/>
    </row>
    <row r="12" spans="1:11">
      <c r="A12" s="106" t="s">
        <v>625</v>
      </c>
      <c r="B12" s="74" t="s">
        <v>628</v>
      </c>
      <c r="C12" s="69" t="s">
        <v>895</v>
      </c>
      <c r="D12" s="61" t="s">
        <v>901</v>
      </c>
      <c r="E12" s="61" t="s">
        <v>902</v>
      </c>
      <c r="F12" s="89" t="s">
        <v>903</v>
      </c>
      <c r="G12" s="77" t="s">
        <v>630</v>
      </c>
      <c r="H12" s="64"/>
      <c r="I12" s="70"/>
      <c r="J12" s="64"/>
      <c r="K12" s="64"/>
    </row>
    <row r="13" spans="1:11">
      <c r="A13" s="106" t="s">
        <v>633</v>
      </c>
      <c r="B13" s="88">
        <v>1000000083</v>
      </c>
      <c r="C13" s="69" t="s">
        <v>895</v>
      </c>
      <c r="D13" s="61" t="s">
        <v>904</v>
      </c>
      <c r="E13" s="61" t="s">
        <v>905</v>
      </c>
      <c r="F13" s="61" t="s">
        <v>906</v>
      </c>
      <c r="G13" s="72"/>
      <c r="H13" s="64"/>
      <c r="I13" s="70"/>
      <c r="J13" s="64"/>
      <c r="K13" s="64"/>
    </row>
    <row r="14" spans="1:11">
      <c r="A14" s="111" t="s">
        <v>717</v>
      </c>
      <c r="B14" s="112"/>
      <c r="C14" s="113" t="s">
        <v>895</v>
      </c>
      <c r="D14" s="114" t="s">
        <v>907</v>
      </c>
      <c r="E14" s="114" t="s">
        <v>908</v>
      </c>
      <c r="F14" s="115" t="s">
        <v>909</v>
      </c>
      <c r="G14" s="116"/>
      <c r="I14" s="118"/>
      <c r="J14" s="117" t="s">
        <v>910</v>
      </c>
      <c r="K14" s="110"/>
    </row>
    <row r="15" spans="1:11">
      <c r="A15" s="106" t="s">
        <v>762</v>
      </c>
      <c r="B15" s="87"/>
      <c r="C15" s="69" t="s">
        <v>895</v>
      </c>
      <c r="D15" s="64" t="s">
        <v>911</v>
      </c>
      <c r="E15" s="61" t="s">
        <v>912</v>
      </c>
      <c r="F15" s="64" t="s">
        <v>913</v>
      </c>
      <c r="G15" s="72" t="s">
        <v>914</v>
      </c>
      <c r="H15" s="64"/>
      <c r="I15" s="70"/>
      <c r="J15" s="64"/>
      <c r="K15" s="64"/>
    </row>
    <row r="16" spans="1:11">
      <c r="A16" s="107" t="s">
        <v>793</v>
      </c>
      <c r="B16" s="74" t="s">
        <v>795</v>
      </c>
      <c r="C16" s="75" t="s">
        <v>859</v>
      </c>
      <c r="D16" s="64" t="s">
        <v>915</v>
      </c>
      <c r="E16" s="64" t="s">
        <v>916</v>
      </c>
      <c r="F16" s="64" t="s">
        <v>917</v>
      </c>
      <c r="G16" s="72"/>
      <c r="H16" s="64"/>
      <c r="I16" s="70"/>
      <c r="J16" s="64"/>
      <c r="K16" s="64"/>
    </row>
    <row r="18" spans="1:6">
      <c r="A18" s="90"/>
      <c r="B18" s="69"/>
      <c r="C18" s="69"/>
      <c r="F18" s="91"/>
    </row>
    <row r="19" spans="1:6">
      <c r="A19" s="90"/>
      <c r="B19" s="69"/>
    </row>
    <row r="20" spans="1:6">
      <c r="A20" s="90"/>
      <c r="B20" s="69"/>
      <c r="C20" s="69"/>
      <c r="F20" s="69"/>
    </row>
    <row r="26" spans="1:6">
      <c r="E26" s="61" t="s">
        <v>918</v>
      </c>
      <c r="F26" s="61" t="s">
        <v>919</v>
      </c>
    </row>
    <row r="28" spans="1:6">
      <c r="F28" s="61" t="s">
        <v>920</v>
      </c>
    </row>
    <row r="29" spans="1:6">
      <c r="F29" s="61" t="s">
        <v>921</v>
      </c>
    </row>
    <row r="30" spans="1:6">
      <c r="F30" s="61" t="s">
        <v>922</v>
      </c>
    </row>
    <row r="31" spans="1:6">
      <c r="F31" s="61" t="s">
        <v>923</v>
      </c>
    </row>
  </sheetData>
  <hyperlinks>
    <hyperlink ref="E3" r:id="rId1" xr:uid="{362C668B-206C-4A10-A053-E8EB1C5A9A62}"/>
    <hyperlink ref="E2" r:id="rId2" xr:uid="{44DF4B35-2033-497F-A853-F1A00C5C54B1}"/>
  </hyperlinks>
  <pageMargins left="0.7" right="0.7" top="0.75" bottom="0.75" header="0.3" footer="0.3"/>
  <pageSetup paperSize="9" orientation="portrait" r:id="rId3"/>
  <customProperties>
    <customPr name="_pios_id" r:id="rId4"/>
  </customProperties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FC15-6696-4631-B4A4-5A5EFCDF8B98}">
  <sheetPr codeName="Sheet4"/>
  <dimension ref="A1:O41"/>
  <sheetViews>
    <sheetView zoomScale="130" zoomScaleNormal="130" workbookViewId="0">
      <selection activeCell="A14" sqref="A14"/>
    </sheetView>
  </sheetViews>
  <sheetFormatPr defaultColWidth="10.85546875" defaultRowHeight="12.75" outlineLevelRow="1"/>
  <cols>
    <col min="1" max="1" width="13.140625" customWidth="1"/>
    <col min="2" max="2" width="36.85546875" customWidth="1"/>
    <col min="3" max="3" width="4.140625" customWidth="1"/>
    <col min="4" max="4" width="4.42578125" customWidth="1"/>
    <col min="5" max="5" width="13.7109375" customWidth="1"/>
    <col min="8" max="8" width="27.7109375" customWidth="1"/>
    <col min="9" max="9" width="44.85546875" customWidth="1"/>
    <col min="11" max="12" width="10.85546875" style="23"/>
    <col min="13" max="13" width="21.85546875" style="21" customWidth="1"/>
    <col min="14" max="15" width="35.7109375" style="21" bestFit="1" customWidth="1"/>
  </cols>
  <sheetData>
    <row r="1" spans="1:15" ht="18">
      <c r="A1" s="22" t="s">
        <v>924</v>
      </c>
      <c r="B1" s="22"/>
      <c r="C1" s="22"/>
      <c r="D1" s="22"/>
    </row>
    <row r="3" spans="1:15" s="28" customFormat="1" ht="26.25" thickBot="1">
      <c r="A3" s="24" t="s">
        <v>925</v>
      </c>
      <c r="B3" s="24"/>
      <c r="C3" s="24"/>
      <c r="D3" s="24"/>
      <c r="E3" s="24" t="s">
        <v>926</v>
      </c>
      <c r="F3" s="24" t="s">
        <v>927</v>
      </c>
      <c r="G3" s="24" t="s">
        <v>928</v>
      </c>
      <c r="H3" s="24" t="s">
        <v>929</v>
      </c>
      <c r="I3" s="24"/>
      <c r="J3" s="24" t="s">
        <v>930</v>
      </c>
      <c r="K3" s="25" t="s">
        <v>931</v>
      </c>
      <c r="L3" s="25" t="s">
        <v>932</v>
      </c>
      <c r="M3" s="26" t="s">
        <v>933</v>
      </c>
      <c r="N3" s="27" t="s">
        <v>934</v>
      </c>
      <c r="O3" s="27" t="s">
        <v>935</v>
      </c>
    </row>
    <row r="4" spans="1:15" ht="14.1" customHeight="1">
      <c r="A4" s="29">
        <v>602101002</v>
      </c>
      <c r="B4" s="29" t="str">
        <f>A4&amp;"-"&amp;H4</f>
        <v>602101002-SALES</v>
      </c>
      <c r="C4" s="29"/>
      <c r="D4" s="29"/>
      <c r="E4" s="29">
        <v>1000</v>
      </c>
      <c r="F4" s="29">
        <v>6020</v>
      </c>
      <c r="G4" s="29" t="s">
        <v>936</v>
      </c>
      <c r="H4" s="29" t="s">
        <v>937</v>
      </c>
      <c r="I4" s="29" t="str">
        <f>A4&amp;H4</f>
        <v>602101002SALES</v>
      </c>
      <c r="J4" s="29" t="s">
        <v>938</v>
      </c>
      <c r="K4" s="30">
        <v>45658</v>
      </c>
      <c r="L4" s="30">
        <v>46022</v>
      </c>
      <c r="M4" s="31" t="s">
        <v>939</v>
      </c>
      <c r="N4" s="32" t="s">
        <v>940</v>
      </c>
      <c r="O4" s="33"/>
    </row>
    <row r="5" spans="1:15" ht="14.1" customHeight="1">
      <c r="A5" s="29">
        <v>602104021</v>
      </c>
      <c r="B5" s="29" t="str">
        <f t="shared" ref="B5:B27" si="0">A5&amp;"-"&amp;H5</f>
        <v>602104021-WORKSHOP MGM</v>
      </c>
      <c r="C5" s="29"/>
      <c r="D5" s="29"/>
      <c r="E5" s="29">
        <v>1000</v>
      </c>
      <c r="F5" s="29">
        <v>6020</v>
      </c>
      <c r="G5" s="29" t="s">
        <v>936</v>
      </c>
      <c r="H5" s="29" t="s">
        <v>941</v>
      </c>
      <c r="I5" s="29" t="str">
        <f t="shared" ref="I5:I40" si="1">A5&amp;H5</f>
        <v>602104021WORKSHOP MGM</v>
      </c>
      <c r="J5" s="29" t="s">
        <v>938</v>
      </c>
      <c r="K5" s="30">
        <v>45658</v>
      </c>
      <c r="L5" s="30">
        <v>46022</v>
      </c>
      <c r="M5" s="31" t="s">
        <v>942</v>
      </c>
      <c r="N5" s="34" t="s">
        <v>943</v>
      </c>
      <c r="O5" s="35" t="s">
        <v>944</v>
      </c>
    </row>
    <row r="6" spans="1:15" ht="14.1" customHeight="1">
      <c r="A6" s="29">
        <v>602104022</v>
      </c>
      <c r="B6" s="29" t="str">
        <f t="shared" si="0"/>
        <v>602104022-WORKSHOP ASSEMBLY</v>
      </c>
      <c r="C6" s="29"/>
      <c r="D6" s="29"/>
      <c r="E6" s="29">
        <v>1000</v>
      </c>
      <c r="F6" s="29">
        <v>6020</v>
      </c>
      <c r="G6" s="29" t="s">
        <v>945</v>
      </c>
      <c r="H6" s="29" t="s">
        <v>946</v>
      </c>
      <c r="I6" s="29" t="str">
        <f t="shared" si="1"/>
        <v>602104022WORKSHOP ASSEMBLY</v>
      </c>
      <c r="J6" s="29" t="s">
        <v>938</v>
      </c>
      <c r="K6" s="30">
        <v>45658</v>
      </c>
      <c r="L6" s="30">
        <v>46022</v>
      </c>
      <c r="M6" s="31" t="s">
        <v>942</v>
      </c>
      <c r="N6" s="34" t="s">
        <v>947</v>
      </c>
      <c r="O6" s="35"/>
    </row>
    <row r="7" spans="1:15" ht="14.1" customHeight="1">
      <c r="A7" s="29">
        <v>602104023</v>
      </c>
      <c r="B7" s="29" t="str">
        <f t="shared" si="0"/>
        <v>602104023-WORKSHOP ELECTRIC</v>
      </c>
      <c r="C7" s="29"/>
      <c r="D7" s="29"/>
      <c r="E7" s="29">
        <v>1000</v>
      </c>
      <c r="F7" s="29">
        <v>6020</v>
      </c>
      <c r="G7" s="29" t="s">
        <v>945</v>
      </c>
      <c r="H7" s="29" t="s">
        <v>948</v>
      </c>
      <c r="I7" s="29" t="str">
        <f t="shared" si="1"/>
        <v>602104023WORKSHOP ELECTRIC</v>
      </c>
      <c r="J7" s="29" t="s">
        <v>938</v>
      </c>
      <c r="K7" s="30">
        <v>45658</v>
      </c>
      <c r="L7" s="30">
        <v>46022</v>
      </c>
      <c r="M7" s="31" t="s">
        <v>942</v>
      </c>
      <c r="N7" s="34" t="s">
        <v>947</v>
      </c>
      <c r="O7" s="35"/>
    </row>
    <row r="8" spans="1:15" ht="14.1" customHeight="1">
      <c r="A8" s="29">
        <v>602105001</v>
      </c>
      <c r="B8" s="29" t="str">
        <f t="shared" si="0"/>
        <v>602105001-PROJECT MGM</v>
      </c>
      <c r="C8" s="29"/>
      <c r="D8" s="29"/>
      <c r="E8" s="29">
        <v>1000</v>
      </c>
      <c r="F8" s="29">
        <v>6020</v>
      </c>
      <c r="G8" s="29" t="s">
        <v>945</v>
      </c>
      <c r="H8" s="29" t="s">
        <v>949</v>
      </c>
      <c r="I8" s="29" t="str">
        <f t="shared" si="1"/>
        <v>602105001PROJECT MGM</v>
      </c>
      <c r="J8" s="29" t="s">
        <v>938</v>
      </c>
      <c r="K8" s="30">
        <v>45658</v>
      </c>
      <c r="L8" s="30">
        <v>46022</v>
      </c>
      <c r="M8" s="31" t="s">
        <v>950</v>
      </c>
      <c r="N8" s="34" t="s">
        <v>947</v>
      </c>
      <c r="O8" s="35"/>
    </row>
    <row r="9" spans="1:15" ht="14.1" customHeight="1">
      <c r="A9" s="29">
        <v>602106001</v>
      </c>
      <c r="B9" s="29" t="str">
        <f t="shared" si="0"/>
        <v>602106001-FS MANAGEMENT</v>
      </c>
      <c r="C9" s="29"/>
      <c r="D9" s="29"/>
      <c r="E9" s="29">
        <v>1000</v>
      </c>
      <c r="F9" s="29">
        <v>6020</v>
      </c>
      <c r="G9" s="29" t="s">
        <v>936</v>
      </c>
      <c r="H9" s="29" t="s">
        <v>951</v>
      </c>
      <c r="I9" s="29" t="str">
        <f t="shared" si="1"/>
        <v>602106001FS MANAGEMENT</v>
      </c>
      <c r="J9" s="29" t="s">
        <v>938</v>
      </c>
      <c r="K9" s="30">
        <v>45658</v>
      </c>
      <c r="L9" s="30">
        <v>46022</v>
      </c>
      <c r="M9" s="31" t="s">
        <v>952</v>
      </c>
      <c r="N9" s="34" t="s">
        <v>953</v>
      </c>
      <c r="O9" s="35"/>
    </row>
    <row r="10" spans="1:15" ht="14.1" customHeight="1">
      <c r="A10" s="29">
        <v>602106002</v>
      </c>
      <c r="B10" s="29" t="str">
        <f t="shared" si="0"/>
        <v>602106002-FS PERSONNEL</v>
      </c>
      <c r="C10" s="29"/>
      <c r="D10" s="29"/>
      <c r="E10" s="29">
        <v>1000</v>
      </c>
      <c r="F10" s="29">
        <v>6020</v>
      </c>
      <c r="G10" s="29" t="s">
        <v>945</v>
      </c>
      <c r="H10" s="29" t="s">
        <v>954</v>
      </c>
      <c r="I10" s="29" t="str">
        <f t="shared" si="1"/>
        <v>602106002FS PERSONNEL</v>
      </c>
      <c r="J10" s="29" t="s">
        <v>938</v>
      </c>
      <c r="K10" s="30">
        <v>45658</v>
      </c>
      <c r="L10" s="30">
        <v>46022</v>
      </c>
      <c r="M10" s="31" t="s">
        <v>952</v>
      </c>
      <c r="N10" s="34" t="s">
        <v>947</v>
      </c>
      <c r="O10" s="35"/>
    </row>
    <row r="11" spans="1:15" ht="14.1" customHeight="1">
      <c r="A11" s="29">
        <v>602106003</v>
      </c>
      <c r="B11" s="29" t="str">
        <f t="shared" si="0"/>
        <v>602106003-FS PERSONNEL (LOCAL)</v>
      </c>
      <c r="C11" s="29"/>
      <c r="D11" s="29"/>
      <c r="E11" s="29">
        <v>1000</v>
      </c>
      <c r="F11" s="29">
        <v>6020</v>
      </c>
      <c r="G11" s="29" t="s">
        <v>945</v>
      </c>
      <c r="H11" s="29" t="s">
        <v>955</v>
      </c>
      <c r="I11" s="29" t="str">
        <f t="shared" si="1"/>
        <v>602106003FS PERSONNEL (LOCAL)</v>
      </c>
      <c r="J11" s="29" t="s">
        <v>938</v>
      </c>
      <c r="K11" s="30">
        <v>45658</v>
      </c>
      <c r="L11" s="30">
        <v>46022</v>
      </c>
      <c r="M11" s="31" t="s">
        <v>952</v>
      </c>
      <c r="N11" s="34" t="s">
        <v>947</v>
      </c>
      <c r="O11" s="35"/>
    </row>
    <row r="12" spans="1:15" ht="14.1" customHeight="1">
      <c r="A12" s="29">
        <v>602403001</v>
      </c>
      <c r="B12" s="29" t="str">
        <f t="shared" si="0"/>
        <v>602403001-PURCHASING</v>
      </c>
      <c r="C12" s="29"/>
      <c r="D12" s="29"/>
      <c r="E12" s="29">
        <v>1000</v>
      </c>
      <c r="F12" s="29">
        <v>6020</v>
      </c>
      <c r="G12" s="29" t="s">
        <v>936</v>
      </c>
      <c r="H12" s="29" t="s">
        <v>956</v>
      </c>
      <c r="I12" s="29" t="str">
        <f t="shared" si="1"/>
        <v>602403001PURCHASING</v>
      </c>
      <c r="J12" s="29" t="s">
        <v>938</v>
      </c>
      <c r="K12" s="30">
        <v>45658</v>
      </c>
      <c r="L12" s="30">
        <v>46022</v>
      </c>
      <c r="M12" s="31" t="s">
        <v>950</v>
      </c>
      <c r="N12" s="34" t="s">
        <v>957</v>
      </c>
      <c r="O12" s="35"/>
    </row>
    <row r="13" spans="1:15" ht="14.1" customHeight="1">
      <c r="A13" s="29">
        <v>602403002</v>
      </c>
      <c r="B13" s="29" t="str">
        <f t="shared" si="0"/>
        <v>602403002-WAREHOUSE</v>
      </c>
      <c r="C13" s="29"/>
      <c r="D13" s="29"/>
      <c r="E13" s="29">
        <v>1000</v>
      </c>
      <c r="F13" s="29">
        <v>6020</v>
      </c>
      <c r="G13" s="29" t="s">
        <v>936</v>
      </c>
      <c r="H13" s="29" t="s">
        <v>490</v>
      </c>
      <c r="I13" s="29" t="str">
        <f t="shared" si="1"/>
        <v>602403002WAREHOUSE</v>
      </c>
      <c r="J13" s="29" t="s">
        <v>938</v>
      </c>
      <c r="K13" s="30">
        <v>45658</v>
      </c>
      <c r="L13" s="30">
        <v>46022</v>
      </c>
      <c r="M13" s="31" t="s">
        <v>958</v>
      </c>
      <c r="N13" s="34" t="s">
        <v>957</v>
      </c>
      <c r="O13" s="35"/>
    </row>
    <row r="14" spans="1:15" ht="14.1" customHeight="1">
      <c r="A14" s="29">
        <v>602403003</v>
      </c>
      <c r="B14" s="29" t="str">
        <f t="shared" si="0"/>
        <v>602403003-LOGISTIC &amp; CUSTOMS</v>
      </c>
      <c r="C14" s="29"/>
      <c r="D14" s="29"/>
      <c r="E14" s="29">
        <v>1000</v>
      </c>
      <c r="F14" s="29">
        <v>6020</v>
      </c>
      <c r="G14" s="29" t="s">
        <v>936</v>
      </c>
      <c r="H14" s="29" t="s">
        <v>959</v>
      </c>
      <c r="I14" s="29" t="str">
        <f t="shared" si="1"/>
        <v>602403003LOGISTIC &amp; CUSTOMS</v>
      </c>
      <c r="J14" s="29" t="s">
        <v>938</v>
      </c>
      <c r="K14" s="30">
        <v>45658</v>
      </c>
      <c r="L14" s="30">
        <v>46022</v>
      </c>
      <c r="M14" s="31" t="s">
        <v>958</v>
      </c>
      <c r="N14" s="34" t="s">
        <v>957</v>
      </c>
      <c r="O14" s="35"/>
    </row>
    <row r="15" spans="1:15" ht="14.1" customHeight="1">
      <c r="A15" s="29">
        <v>602408001</v>
      </c>
      <c r="B15" s="29" t="str">
        <f t="shared" si="0"/>
        <v>602408001-IT ADMINISTRATION</v>
      </c>
      <c r="C15" s="29"/>
      <c r="D15" s="29"/>
      <c r="E15" s="29">
        <v>1000</v>
      </c>
      <c r="F15" s="29">
        <v>6020</v>
      </c>
      <c r="G15" s="29" t="s">
        <v>936</v>
      </c>
      <c r="H15" s="29" t="s">
        <v>960</v>
      </c>
      <c r="I15" s="29" t="str">
        <f t="shared" si="1"/>
        <v>602408001IT ADMINISTRATION</v>
      </c>
      <c r="J15" s="29" t="s">
        <v>938</v>
      </c>
      <c r="K15" s="30">
        <v>45658</v>
      </c>
      <c r="L15" s="30">
        <v>46022</v>
      </c>
      <c r="M15" s="31" t="s">
        <v>961</v>
      </c>
      <c r="N15" s="34" t="s">
        <v>953</v>
      </c>
      <c r="O15" s="35"/>
    </row>
    <row r="16" spans="1:15" ht="14.1" customHeight="1">
      <c r="A16" s="29">
        <v>602408002</v>
      </c>
      <c r="B16" s="29" t="str">
        <f t="shared" si="0"/>
        <v>602408002-FACILITIES / HR</v>
      </c>
      <c r="C16" s="29"/>
      <c r="D16" s="29"/>
      <c r="E16" s="29">
        <v>1000</v>
      </c>
      <c r="F16" s="29">
        <v>6020</v>
      </c>
      <c r="G16" s="29" t="s">
        <v>936</v>
      </c>
      <c r="H16" s="29" t="s">
        <v>962</v>
      </c>
      <c r="I16" s="29" t="str">
        <f t="shared" si="1"/>
        <v>602408002FACILITIES / HR</v>
      </c>
      <c r="J16" s="29" t="s">
        <v>938</v>
      </c>
      <c r="K16" s="30">
        <v>45658</v>
      </c>
      <c r="L16" s="30">
        <v>46022</v>
      </c>
      <c r="M16" s="31" t="s">
        <v>963</v>
      </c>
      <c r="N16" s="34" t="s">
        <v>964</v>
      </c>
      <c r="O16" s="35" t="s">
        <v>965</v>
      </c>
    </row>
    <row r="17" spans="1:15" ht="14.1" customHeight="1">
      <c r="A17" s="29">
        <v>602408004</v>
      </c>
      <c r="B17" s="29" t="str">
        <f t="shared" si="0"/>
        <v>602408004-QHSE</v>
      </c>
      <c r="C17" s="29"/>
      <c r="D17" s="29"/>
      <c r="E17" s="29">
        <v>1000</v>
      </c>
      <c r="F17" s="29">
        <v>6020</v>
      </c>
      <c r="G17" s="29" t="s">
        <v>936</v>
      </c>
      <c r="H17" s="29" t="s">
        <v>113</v>
      </c>
      <c r="I17" s="29" t="str">
        <f t="shared" si="1"/>
        <v>602408004QHSE</v>
      </c>
      <c r="J17" s="29" t="s">
        <v>938</v>
      </c>
      <c r="K17" s="30">
        <v>45658</v>
      </c>
      <c r="L17" s="30">
        <v>46022</v>
      </c>
      <c r="M17" s="31" t="s">
        <v>966</v>
      </c>
      <c r="N17" s="34" t="s">
        <v>957</v>
      </c>
      <c r="O17" s="35"/>
    </row>
    <row r="18" spans="1:15" ht="14.1" customHeight="1">
      <c r="A18" s="29">
        <v>602409003</v>
      </c>
      <c r="B18" s="29" t="str">
        <f t="shared" si="0"/>
        <v>602409003-MANAGEMENT &amp; ADMIN</v>
      </c>
      <c r="C18" s="29"/>
      <c r="D18" s="29"/>
      <c r="E18" s="29">
        <v>1000</v>
      </c>
      <c r="F18" s="29">
        <v>6020</v>
      </c>
      <c r="G18" s="29" t="s">
        <v>936</v>
      </c>
      <c r="H18" s="29" t="s">
        <v>967</v>
      </c>
      <c r="I18" s="29" t="str">
        <f t="shared" si="1"/>
        <v>602409003MANAGEMENT &amp; ADMIN</v>
      </c>
      <c r="J18" s="29" t="s">
        <v>938</v>
      </c>
      <c r="K18" s="30">
        <v>45658</v>
      </c>
      <c r="L18" s="30">
        <v>46022</v>
      </c>
      <c r="M18" s="31" t="s">
        <v>961</v>
      </c>
      <c r="N18" s="34" t="s">
        <v>953</v>
      </c>
      <c r="O18" s="35"/>
    </row>
    <row r="19" spans="1:15" ht="14.1" customHeight="1">
      <c r="A19" s="29">
        <v>602409004</v>
      </c>
      <c r="B19" s="29" t="str">
        <f t="shared" si="0"/>
        <v>602409004-FI &amp; CO</v>
      </c>
      <c r="C19" s="29"/>
      <c r="D19" s="29"/>
      <c r="E19" s="29">
        <v>1000</v>
      </c>
      <c r="F19" s="29">
        <v>6020</v>
      </c>
      <c r="G19" s="29" t="s">
        <v>936</v>
      </c>
      <c r="H19" s="29" t="s">
        <v>968</v>
      </c>
      <c r="I19" s="29" t="str">
        <f t="shared" si="1"/>
        <v>602409004FI &amp; CO</v>
      </c>
      <c r="J19" s="29" t="s">
        <v>938</v>
      </c>
      <c r="K19" s="30">
        <v>45658</v>
      </c>
      <c r="L19" s="30">
        <v>46022</v>
      </c>
      <c r="M19" s="31" t="s">
        <v>969</v>
      </c>
      <c r="N19" s="34" t="s">
        <v>953</v>
      </c>
      <c r="O19" s="35"/>
    </row>
    <row r="20" spans="1:15" ht="14.1" customHeight="1">
      <c r="A20" s="29">
        <v>602410001</v>
      </c>
      <c r="B20" s="29" t="str">
        <f t="shared" si="0"/>
        <v>602410001-HK HTE</v>
      </c>
      <c r="C20" s="29"/>
      <c r="D20" s="29"/>
      <c r="E20" s="29">
        <v>1000</v>
      </c>
      <c r="F20" s="29">
        <v>6020</v>
      </c>
      <c r="G20" s="29" t="s">
        <v>936</v>
      </c>
      <c r="H20" s="29" t="s">
        <v>970</v>
      </c>
      <c r="I20" s="29" t="str">
        <f t="shared" si="1"/>
        <v>602410001HK HTE</v>
      </c>
      <c r="J20" s="29" t="s">
        <v>938</v>
      </c>
      <c r="K20" s="30">
        <v>45658</v>
      </c>
      <c r="L20" s="30">
        <v>46022</v>
      </c>
      <c r="M20" s="31" t="s">
        <v>969</v>
      </c>
      <c r="N20" s="34" t="s">
        <v>971</v>
      </c>
      <c r="O20" s="35"/>
    </row>
    <row r="21" spans="1:15" ht="14.1" customHeight="1">
      <c r="A21" s="29">
        <v>602410002</v>
      </c>
      <c r="B21" s="29" t="str">
        <f t="shared" si="0"/>
        <v>602410002-HK HTM</v>
      </c>
      <c r="C21" s="29"/>
      <c r="D21" s="29"/>
      <c r="E21" s="29">
        <v>1000</v>
      </c>
      <c r="F21" s="29">
        <v>6020</v>
      </c>
      <c r="G21" s="29" t="s">
        <v>936</v>
      </c>
      <c r="H21" s="29" t="s">
        <v>972</v>
      </c>
      <c r="I21" s="29" t="str">
        <f t="shared" si="1"/>
        <v>602410002HK HTM</v>
      </c>
      <c r="J21" s="29" t="s">
        <v>938</v>
      </c>
      <c r="K21" s="30">
        <v>45658</v>
      </c>
      <c r="L21" s="30">
        <v>46022</v>
      </c>
      <c r="M21" s="31" t="s">
        <v>969</v>
      </c>
      <c r="N21" s="34" t="s">
        <v>971</v>
      </c>
      <c r="O21" s="35"/>
    </row>
    <row r="22" spans="1:15" ht="14.1" customHeight="1">
      <c r="A22" s="29">
        <v>602410003</v>
      </c>
      <c r="B22" s="29" t="str">
        <f t="shared" si="0"/>
        <v>602410003-HK HSH</v>
      </c>
      <c r="C22" s="29"/>
      <c r="D22" s="29"/>
      <c r="E22" s="29">
        <v>1000</v>
      </c>
      <c r="F22" s="29">
        <v>6020</v>
      </c>
      <c r="G22" s="29" t="s">
        <v>936</v>
      </c>
      <c r="H22" s="29" t="s">
        <v>973</v>
      </c>
      <c r="I22" s="29" t="str">
        <f t="shared" si="1"/>
        <v>602410003HK HSH</v>
      </c>
      <c r="J22" s="29" t="s">
        <v>938</v>
      </c>
      <c r="K22" s="30">
        <v>45658</v>
      </c>
      <c r="L22" s="30">
        <v>46022</v>
      </c>
      <c r="M22" s="31" t="s">
        <v>969</v>
      </c>
      <c r="N22" s="34" t="s">
        <v>971</v>
      </c>
      <c r="O22" s="35"/>
    </row>
    <row r="23" spans="1:15" ht="14.1" customHeight="1">
      <c r="A23" s="29">
        <v>602410004</v>
      </c>
      <c r="B23" s="29" t="str">
        <f t="shared" si="0"/>
        <v>602410004-HK HCG</v>
      </c>
      <c r="C23" s="29"/>
      <c r="D23" s="29"/>
      <c r="E23" s="29">
        <v>1000</v>
      </c>
      <c r="F23" s="29">
        <v>6020</v>
      </c>
      <c r="G23" s="29" t="s">
        <v>936</v>
      </c>
      <c r="H23" s="29" t="s">
        <v>974</v>
      </c>
      <c r="I23" s="29" t="str">
        <f t="shared" si="1"/>
        <v>602410004HK HCG</v>
      </c>
      <c r="J23" s="29" t="s">
        <v>938</v>
      </c>
      <c r="K23" s="30">
        <v>45658</v>
      </c>
      <c r="L23" s="30">
        <v>46022</v>
      </c>
      <c r="M23" s="31" t="s">
        <v>969</v>
      </c>
      <c r="N23" s="34" t="s">
        <v>971</v>
      </c>
      <c r="O23" s="35"/>
    </row>
    <row r="24" spans="1:15" ht="14.1" customHeight="1">
      <c r="A24" s="29">
        <v>602410005</v>
      </c>
      <c r="B24" s="29" t="str">
        <f t="shared" si="0"/>
        <v>602410005-HK AG</v>
      </c>
      <c r="C24" s="29"/>
      <c r="D24" s="29"/>
      <c r="E24" s="29">
        <v>1000</v>
      </c>
      <c r="F24" s="29">
        <v>6020</v>
      </c>
      <c r="G24" s="29" t="s">
        <v>936</v>
      </c>
      <c r="H24" s="29" t="s">
        <v>975</v>
      </c>
      <c r="I24" s="29" t="str">
        <f t="shared" si="1"/>
        <v>602410005HK AG</v>
      </c>
      <c r="J24" s="29" t="s">
        <v>938</v>
      </c>
      <c r="K24" s="30">
        <v>45658</v>
      </c>
      <c r="L24" s="30">
        <v>46022</v>
      </c>
      <c r="M24" s="31" t="s">
        <v>969</v>
      </c>
      <c r="N24" s="34" t="s">
        <v>971</v>
      </c>
      <c r="O24" s="35"/>
    </row>
    <row r="25" spans="1:15" ht="14.1" customHeight="1">
      <c r="A25" s="29">
        <v>602410006</v>
      </c>
      <c r="B25" s="29" t="str">
        <f t="shared" si="0"/>
        <v>602410006-HK ASIA HAQ</v>
      </c>
      <c r="C25" s="29"/>
      <c r="D25" s="29"/>
      <c r="E25" s="29">
        <v>1000</v>
      </c>
      <c r="F25" s="29">
        <v>6020</v>
      </c>
      <c r="G25" s="29" t="s">
        <v>936</v>
      </c>
      <c r="H25" s="29" t="s">
        <v>976</v>
      </c>
      <c r="I25" s="29" t="str">
        <f t="shared" si="1"/>
        <v>602410006HK ASIA HAQ</v>
      </c>
      <c r="J25" s="29" t="s">
        <v>938</v>
      </c>
      <c r="K25" s="30">
        <v>45658</v>
      </c>
      <c r="L25" s="30">
        <v>46022</v>
      </c>
      <c r="M25" s="31" t="s">
        <v>969</v>
      </c>
      <c r="N25" s="34" t="s">
        <v>971</v>
      </c>
      <c r="O25" s="35"/>
    </row>
    <row r="26" spans="1:15" ht="14.1" customHeight="1">
      <c r="A26" s="29">
        <v>602410007</v>
      </c>
      <c r="B26" s="29" t="str">
        <f t="shared" si="0"/>
        <v>602410007-VMT SHANGHAI</v>
      </c>
      <c r="C26" s="29"/>
      <c r="D26" s="29"/>
      <c r="E26" s="29">
        <v>1000</v>
      </c>
      <c r="F26" s="29">
        <v>6020</v>
      </c>
      <c r="G26" s="29" t="s">
        <v>936</v>
      </c>
      <c r="H26" s="29" t="s">
        <v>977</v>
      </c>
      <c r="I26" s="29" t="str">
        <f t="shared" si="1"/>
        <v>602410007VMT SHANGHAI</v>
      </c>
      <c r="J26" s="29" t="s">
        <v>938</v>
      </c>
      <c r="K26" s="30">
        <v>45658</v>
      </c>
      <c r="L26" s="30">
        <v>46022</v>
      </c>
      <c r="M26" s="31" t="s">
        <v>969</v>
      </c>
      <c r="N26" s="34" t="s">
        <v>971</v>
      </c>
      <c r="O26" s="35"/>
    </row>
    <row r="27" spans="1:15" ht="14.1" customHeight="1">
      <c r="A27" s="29">
        <v>602410008</v>
      </c>
      <c r="B27" s="29" t="str">
        <f t="shared" si="0"/>
        <v>602410008-Herrenknecht  (NZ) Limited</v>
      </c>
      <c r="C27" s="29"/>
      <c r="D27" s="29"/>
      <c r="E27" s="29">
        <v>1000</v>
      </c>
      <c r="F27" s="29">
        <v>6020</v>
      </c>
      <c r="G27" s="29" t="s">
        <v>936</v>
      </c>
      <c r="H27" s="29" t="s">
        <v>978</v>
      </c>
      <c r="I27" s="29" t="str">
        <f t="shared" si="1"/>
        <v>602410008Herrenknecht  (NZ) Limited</v>
      </c>
      <c r="J27" s="29" t="s">
        <v>938</v>
      </c>
      <c r="K27" s="30">
        <v>45658</v>
      </c>
      <c r="L27" s="30">
        <v>46022</v>
      </c>
      <c r="M27" s="31" t="s">
        <v>969</v>
      </c>
      <c r="N27" s="34" t="s">
        <v>971</v>
      </c>
      <c r="O27" s="35"/>
    </row>
    <row r="28" spans="1:15" hidden="1" outlineLevel="1">
      <c r="A28" s="29">
        <v>602410028</v>
      </c>
      <c r="B28" s="29"/>
      <c r="C28" s="29"/>
      <c r="D28" s="29"/>
      <c r="E28" s="29">
        <v>1000</v>
      </c>
      <c r="F28" s="29">
        <v>6020</v>
      </c>
      <c r="G28" s="29" t="s">
        <v>979</v>
      </c>
      <c r="H28" s="29" t="s">
        <v>980</v>
      </c>
      <c r="I28" s="29" t="str">
        <f t="shared" si="1"/>
        <v>602410028SALES OVERHEAD</v>
      </c>
      <c r="J28" s="29" t="s">
        <v>938</v>
      </c>
      <c r="K28" s="30">
        <v>41640</v>
      </c>
      <c r="L28" s="30">
        <v>2958465</v>
      </c>
      <c r="M28" s="36" t="s">
        <v>981</v>
      </c>
      <c r="N28" s="36"/>
      <c r="O28" s="36"/>
    </row>
    <row r="29" spans="1:15" hidden="1" outlineLevel="1">
      <c r="A29" s="29">
        <v>602410029</v>
      </c>
      <c r="B29" s="29"/>
      <c r="C29" s="29"/>
      <c r="D29" s="29"/>
      <c r="E29" s="29">
        <v>1000</v>
      </c>
      <c r="F29" s="29">
        <v>6020</v>
      </c>
      <c r="G29" s="29" t="s">
        <v>979</v>
      </c>
      <c r="H29" s="29" t="s">
        <v>982</v>
      </c>
      <c r="I29" s="29" t="str">
        <f t="shared" si="1"/>
        <v>602410029ADMINISTRATION OH</v>
      </c>
      <c r="J29" s="29" t="s">
        <v>938</v>
      </c>
      <c r="K29" s="30">
        <v>41640</v>
      </c>
      <c r="L29" s="30">
        <v>2958465</v>
      </c>
      <c r="M29" s="36" t="s">
        <v>961</v>
      </c>
      <c r="N29" s="36"/>
      <c r="O29" s="36"/>
    </row>
    <row r="30" spans="1:15" hidden="1" outlineLevel="1">
      <c r="A30" s="29">
        <v>602410030</v>
      </c>
      <c r="B30" s="29"/>
      <c r="C30" s="29"/>
      <c r="D30" s="29"/>
      <c r="E30" s="29">
        <v>1000</v>
      </c>
      <c r="F30" s="29">
        <v>6020</v>
      </c>
      <c r="G30" s="29" t="s">
        <v>979</v>
      </c>
      <c r="H30" s="29" t="s">
        <v>983</v>
      </c>
      <c r="I30" s="29" t="str">
        <f t="shared" si="1"/>
        <v>602410030MATERIAL OVERHEAD</v>
      </c>
      <c r="J30" s="29" t="s">
        <v>938</v>
      </c>
      <c r="K30" s="30">
        <v>41640</v>
      </c>
      <c r="L30" s="30">
        <v>2958465</v>
      </c>
      <c r="M30" s="36" t="s">
        <v>961</v>
      </c>
      <c r="N30" s="36"/>
      <c r="O30" s="36"/>
    </row>
    <row r="31" spans="1:15" s="40" customFormat="1" ht="15" hidden="1" outlineLevel="1">
      <c r="A31" s="37">
        <v>602102001</v>
      </c>
      <c r="B31" s="37"/>
      <c r="C31" s="37"/>
      <c r="D31" s="37"/>
      <c r="E31" s="37">
        <v>1000</v>
      </c>
      <c r="F31" s="37">
        <v>6020</v>
      </c>
      <c r="G31" s="37" t="s">
        <v>945</v>
      </c>
      <c r="H31" s="37" t="s">
        <v>984</v>
      </c>
      <c r="I31" s="29" t="str">
        <f t="shared" si="1"/>
        <v>602102001DESIGN ELECTRIC</v>
      </c>
      <c r="J31" s="37" t="s">
        <v>938</v>
      </c>
      <c r="K31" s="38">
        <v>41640</v>
      </c>
      <c r="L31" s="38">
        <v>2958465</v>
      </c>
      <c r="M31" s="39"/>
      <c r="N31" s="39"/>
      <c r="O31" s="39"/>
    </row>
    <row r="32" spans="1:15" s="40" customFormat="1" ht="15" hidden="1" outlineLevel="1">
      <c r="A32" s="37">
        <v>602102002</v>
      </c>
      <c r="B32" s="37"/>
      <c r="C32" s="37"/>
      <c r="D32" s="37"/>
      <c r="E32" s="37">
        <v>1000</v>
      </c>
      <c r="F32" s="37">
        <v>6020</v>
      </c>
      <c r="G32" s="37" t="s">
        <v>945</v>
      </c>
      <c r="H32" s="37" t="s">
        <v>985</v>
      </c>
      <c r="I32" s="29" t="str">
        <f t="shared" si="1"/>
        <v>602102002DESIGN MECHANICAL</v>
      </c>
      <c r="J32" s="37" t="s">
        <v>938</v>
      </c>
      <c r="K32" s="38">
        <v>41640</v>
      </c>
      <c r="L32" s="38">
        <v>2958465</v>
      </c>
      <c r="M32" s="39"/>
      <c r="N32" s="39"/>
      <c r="O32" s="39"/>
    </row>
    <row r="33" spans="1:15" s="40" customFormat="1" ht="15" hidden="1" outlineLevel="1">
      <c r="A33" s="37">
        <v>602105002</v>
      </c>
      <c r="B33" s="37"/>
      <c r="C33" s="37"/>
      <c r="D33" s="37"/>
      <c r="E33" s="37">
        <v>1000</v>
      </c>
      <c r="F33" s="37">
        <v>6020</v>
      </c>
      <c r="G33" s="37" t="s">
        <v>936</v>
      </c>
      <c r="H33" s="37" t="s">
        <v>986</v>
      </c>
      <c r="I33" s="29" t="str">
        <f t="shared" si="1"/>
        <v>602105002COMMERCIAL PM</v>
      </c>
      <c r="J33" s="37" t="s">
        <v>938</v>
      </c>
      <c r="K33" s="38">
        <v>41640</v>
      </c>
      <c r="L33" s="38">
        <v>2958465</v>
      </c>
      <c r="M33" s="39"/>
      <c r="N33" s="39"/>
      <c r="O33" s="39"/>
    </row>
    <row r="34" spans="1:15" s="40" customFormat="1" ht="15" hidden="1" outlineLevel="1">
      <c r="A34" s="37">
        <v>602304001</v>
      </c>
      <c r="B34" s="37"/>
      <c r="C34" s="37"/>
      <c r="D34" s="37"/>
      <c r="E34" s="37">
        <v>1000</v>
      </c>
      <c r="F34" s="37">
        <v>6020</v>
      </c>
      <c r="G34" s="37" t="s">
        <v>936</v>
      </c>
      <c r="H34" s="37" t="s">
        <v>987</v>
      </c>
      <c r="I34" s="29" t="str">
        <f t="shared" si="1"/>
        <v>602304001CP MANAGEMENT</v>
      </c>
      <c r="J34" s="37" t="s">
        <v>938</v>
      </c>
      <c r="K34" s="38">
        <v>41640</v>
      </c>
      <c r="L34" s="38">
        <v>2958465</v>
      </c>
      <c r="M34" s="39"/>
      <c r="N34" s="39"/>
      <c r="O34" s="39"/>
    </row>
    <row r="35" spans="1:15" s="40" customFormat="1" ht="15" hidden="1" outlineLevel="1">
      <c r="A35" s="37">
        <v>602304002</v>
      </c>
      <c r="B35" s="37"/>
      <c r="C35" s="37"/>
      <c r="D35" s="37"/>
      <c r="E35" s="37">
        <v>1000</v>
      </c>
      <c r="F35" s="37">
        <v>6020</v>
      </c>
      <c r="G35" s="37" t="s">
        <v>945</v>
      </c>
      <c r="H35" s="37" t="s">
        <v>988</v>
      </c>
      <c r="I35" s="29" t="str">
        <f t="shared" si="1"/>
        <v>602304002CP LABOR</v>
      </c>
      <c r="J35" s="37" t="s">
        <v>938</v>
      </c>
      <c r="K35" s="38">
        <v>41640</v>
      </c>
      <c r="L35" s="38">
        <v>2958465</v>
      </c>
      <c r="M35" s="39"/>
      <c r="N35" s="39"/>
      <c r="O35" s="39"/>
    </row>
    <row r="36" spans="1:15" s="40" customFormat="1" ht="15" hidden="1" outlineLevel="1">
      <c r="A36" s="37">
        <v>602304003</v>
      </c>
      <c r="B36" s="37"/>
      <c r="C36" s="37"/>
      <c r="D36" s="37"/>
      <c r="E36" s="37">
        <v>1000</v>
      </c>
      <c r="F36" s="37">
        <v>6020</v>
      </c>
      <c r="G36" s="37" t="s">
        <v>989</v>
      </c>
      <c r="H36" s="37" t="s">
        <v>990</v>
      </c>
      <c r="I36" s="29" t="str">
        <f t="shared" si="1"/>
        <v>602304003CP MACHINE</v>
      </c>
      <c r="J36" s="37" t="s">
        <v>938</v>
      </c>
      <c r="K36" s="38">
        <v>41640</v>
      </c>
      <c r="L36" s="38">
        <v>2958465</v>
      </c>
      <c r="M36" s="39"/>
      <c r="N36" s="39"/>
      <c r="O36" s="39"/>
    </row>
    <row r="37" spans="1:15" s="40" customFormat="1" ht="15" hidden="1" outlineLevel="1">
      <c r="A37" s="37">
        <v>602408005</v>
      </c>
      <c r="B37" s="37"/>
      <c r="C37" s="37"/>
      <c r="D37" s="37"/>
      <c r="E37" s="37">
        <v>1000</v>
      </c>
      <c r="F37" s="37">
        <v>6020</v>
      </c>
      <c r="G37" s="37" t="s">
        <v>936</v>
      </c>
      <c r="H37" s="37" t="s">
        <v>991</v>
      </c>
      <c r="I37" s="29" t="str">
        <f t="shared" si="1"/>
        <v>602408005QUALITY CONTROL</v>
      </c>
      <c r="J37" s="37" t="s">
        <v>938</v>
      </c>
      <c r="K37" s="38">
        <v>41640</v>
      </c>
      <c r="L37" s="38">
        <v>2958465</v>
      </c>
      <c r="M37" s="39"/>
      <c r="N37" s="39"/>
      <c r="O37" s="39"/>
    </row>
    <row r="38" spans="1:15" s="40" customFormat="1" ht="15" hidden="1" outlineLevel="1">
      <c r="A38" s="37">
        <v>602409001</v>
      </c>
      <c r="B38" s="37"/>
      <c r="C38" s="37"/>
      <c r="D38" s="37"/>
      <c r="E38" s="37">
        <v>1000</v>
      </c>
      <c r="F38" s="37">
        <v>6020</v>
      </c>
      <c r="G38" s="37" t="s">
        <v>936</v>
      </c>
      <c r="H38" s="37" t="s">
        <v>992</v>
      </c>
      <c r="I38" s="29" t="str">
        <f t="shared" si="1"/>
        <v>602409001MANAGEMENT</v>
      </c>
      <c r="J38" s="37" t="s">
        <v>938</v>
      </c>
      <c r="K38" s="38">
        <v>41640</v>
      </c>
      <c r="L38" s="38">
        <v>2958465</v>
      </c>
      <c r="M38" s="39"/>
      <c r="N38" s="39"/>
      <c r="O38" s="39"/>
    </row>
    <row r="39" spans="1:15" s="40" customFormat="1" ht="15" hidden="1" outlineLevel="1">
      <c r="A39" s="37">
        <v>602409002</v>
      </c>
      <c r="B39" s="37"/>
      <c r="C39" s="37"/>
      <c r="D39" s="37"/>
      <c r="E39" s="37">
        <v>1000</v>
      </c>
      <c r="F39" s="37">
        <v>6020</v>
      </c>
      <c r="G39" s="37" t="s">
        <v>936</v>
      </c>
      <c r="H39" s="37" t="s">
        <v>993</v>
      </c>
      <c r="I39" s="29" t="str">
        <f t="shared" si="1"/>
        <v>602409002CENTRAL SERVICE</v>
      </c>
      <c r="J39" s="37" t="s">
        <v>938</v>
      </c>
      <c r="K39" s="38">
        <v>41640</v>
      </c>
      <c r="L39" s="38">
        <v>2958465</v>
      </c>
      <c r="M39" s="39"/>
      <c r="N39" s="39"/>
      <c r="O39" s="39"/>
    </row>
    <row r="40" spans="1:15" s="40" customFormat="1" ht="15" hidden="1" outlineLevel="1">
      <c r="A40" s="37">
        <v>602409005</v>
      </c>
      <c r="B40" s="37"/>
      <c r="C40" s="37"/>
      <c r="D40" s="37"/>
      <c r="E40" s="37">
        <v>1000</v>
      </c>
      <c r="F40" s="37">
        <v>6020</v>
      </c>
      <c r="G40" s="37" t="s">
        <v>936</v>
      </c>
      <c r="H40" s="37" t="s">
        <v>994</v>
      </c>
      <c r="I40" s="29" t="str">
        <f t="shared" si="1"/>
        <v>602409005HUMAN RESOURCES</v>
      </c>
      <c r="J40" s="37" t="s">
        <v>938</v>
      </c>
      <c r="K40" s="38">
        <v>41640</v>
      </c>
      <c r="L40" s="38">
        <v>2958465</v>
      </c>
      <c r="M40" s="39"/>
      <c r="N40" s="39"/>
      <c r="O40" s="39"/>
    </row>
    <row r="41" spans="1:15" collapsed="1"/>
  </sheetData>
  <pageMargins left="0.7" right="0.7" top="0.75" bottom="0.75" header="0.3" footer="0.3"/>
  <pageSetup paperSize="256" orientation="portrait" horizontalDpi="203" verticalDpi="203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6229-837C-41C6-81F0-7838D558E3D7}">
  <sheetPr codeName="Sheet5"/>
  <dimension ref="A1:F132"/>
  <sheetViews>
    <sheetView topLeftCell="A73" zoomScaleNormal="100" workbookViewId="0">
      <selection activeCell="C127" sqref="C127"/>
    </sheetView>
  </sheetViews>
  <sheetFormatPr defaultColWidth="10.85546875" defaultRowHeight="12.75"/>
  <cols>
    <col min="1" max="1" width="15.28515625" style="7" customWidth="1"/>
    <col min="2" max="2" width="61.7109375" customWidth="1"/>
    <col min="3" max="3" width="56.7109375" customWidth="1"/>
    <col min="4" max="4" width="19" customWidth="1"/>
    <col min="5" max="5" width="27.85546875" bestFit="1" customWidth="1"/>
    <col min="6" max="6" width="14.28515625" customWidth="1"/>
  </cols>
  <sheetData>
    <row r="1" spans="1:6">
      <c r="A1" s="10" t="s">
        <v>995</v>
      </c>
      <c r="B1" s="1"/>
      <c r="C1" s="1" t="s">
        <v>996</v>
      </c>
      <c r="D1" s="1" t="s">
        <v>997</v>
      </c>
      <c r="E1" s="6" t="s">
        <v>998</v>
      </c>
      <c r="F1" s="6" t="s">
        <v>999</v>
      </c>
    </row>
    <row r="2" spans="1:6">
      <c r="A2" s="18">
        <v>1000000330</v>
      </c>
      <c r="B2" s="19" t="s">
        <v>1000</v>
      </c>
      <c r="C2" s="19" t="s">
        <v>1001</v>
      </c>
      <c r="D2" s="3">
        <v>44111</v>
      </c>
      <c r="E2" s="4"/>
      <c r="F2" s="4"/>
    </row>
    <row r="3" spans="1:6">
      <c r="A3" s="18">
        <v>1000000331</v>
      </c>
      <c r="B3" s="19" t="s">
        <v>1000</v>
      </c>
      <c r="C3" s="19" t="s">
        <v>1001</v>
      </c>
      <c r="D3" s="3">
        <v>44111</v>
      </c>
      <c r="E3" s="4"/>
      <c r="F3" s="4"/>
    </row>
    <row r="4" spans="1:6">
      <c r="A4" s="12">
        <v>1000000329</v>
      </c>
      <c r="B4" s="2" t="s">
        <v>1002</v>
      </c>
      <c r="C4" s="2" t="s">
        <v>1003</v>
      </c>
      <c r="D4" s="3">
        <v>44111</v>
      </c>
      <c r="E4" s="4"/>
      <c r="F4" s="4"/>
    </row>
    <row r="5" spans="1:6">
      <c r="A5" s="12">
        <v>1000000343</v>
      </c>
      <c r="B5" s="2" t="s">
        <v>1004</v>
      </c>
      <c r="C5" s="2" t="s">
        <v>1005</v>
      </c>
      <c r="D5" s="3">
        <v>44189</v>
      </c>
      <c r="E5" s="4"/>
      <c r="F5" s="4"/>
    </row>
    <row r="6" spans="1:6">
      <c r="A6" s="12">
        <v>1000000344</v>
      </c>
      <c r="B6" s="53" t="s">
        <v>705</v>
      </c>
      <c r="C6" s="8" t="s">
        <v>1006</v>
      </c>
      <c r="D6" s="3">
        <v>44189</v>
      </c>
      <c r="E6" s="4"/>
      <c r="F6" s="4"/>
    </row>
    <row r="7" spans="1:6">
      <c r="A7" s="12">
        <v>1000000195</v>
      </c>
      <c r="B7" s="2" t="s">
        <v>1007</v>
      </c>
      <c r="C7" s="15" t="s">
        <v>1008</v>
      </c>
      <c r="D7" s="3">
        <v>43874</v>
      </c>
      <c r="E7" s="4"/>
      <c r="F7" s="4"/>
    </row>
    <row r="8" spans="1:6">
      <c r="A8" s="12">
        <v>1000000904</v>
      </c>
      <c r="B8" s="2" t="s">
        <v>1007</v>
      </c>
      <c r="C8" s="2" t="s">
        <v>1009</v>
      </c>
      <c r="D8" s="3">
        <v>45184</v>
      </c>
      <c r="E8" s="4"/>
      <c r="F8" s="4"/>
    </row>
    <row r="9" spans="1:6">
      <c r="A9" s="12">
        <v>1000000328</v>
      </c>
      <c r="B9" s="2" t="s">
        <v>1010</v>
      </c>
      <c r="C9" s="2" t="s">
        <v>1011</v>
      </c>
      <c r="D9" s="3">
        <v>44111</v>
      </c>
      <c r="E9" s="4"/>
      <c r="F9" s="4"/>
    </row>
    <row r="10" spans="1:6">
      <c r="A10" s="12">
        <v>1000000359</v>
      </c>
      <c r="B10" s="2" t="s">
        <v>1012</v>
      </c>
      <c r="C10" s="2" t="s">
        <v>1013</v>
      </c>
      <c r="D10" s="3">
        <v>44256</v>
      </c>
      <c r="E10" s="4"/>
      <c r="F10" s="4"/>
    </row>
    <row r="11" spans="1:6">
      <c r="A11" s="12">
        <v>1000000112</v>
      </c>
      <c r="B11" s="2" t="s">
        <v>1014</v>
      </c>
      <c r="C11" s="2" t="s">
        <v>1014</v>
      </c>
      <c r="D11" s="3">
        <v>43525</v>
      </c>
      <c r="E11" s="4"/>
      <c r="F11" s="4"/>
    </row>
    <row r="12" spans="1:6">
      <c r="A12" s="12">
        <v>1000000205</v>
      </c>
      <c r="B12" s="2" t="s">
        <v>782</v>
      </c>
      <c r="C12" s="5" t="s">
        <v>786</v>
      </c>
      <c r="D12" s="3">
        <v>43874</v>
      </c>
      <c r="E12" s="4"/>
      <c r="F12" s="4"/>
    </row>
    <row r="13" spans="1:6">
      <c r="A13" s="12">
        <v>1000000218</v>
      </c>
      <c r="B13" s="2" t="s">
        <v>782</v>
      </c>
      <c r="C13" s="5" t="s">
        <v>786</v>
      </c>
      <c r="D13" s="3">
        <v>43888</v>
      </c>
      <c r="E13" s="4"/>
      <c r="F13" s="4"/>
    </row>
    <row r="14" spans="1:6">
      <c r="A14" s="11">
        <v>1000000074</v>
      </c>
      <c r="B14" s="2" t="s">
        <v>801</v>
      </c>
      <c r="C14" s="2" t="s">
        <v>1015</v>
      </c>
      <c r="D14" s="3">
        <v>43091</v>
      </c>
      <c r="E14" s="4"/>
      <c r="F14" s="4"/>
    </row>
    <row r="15" spans="1:6">
      <c r="A15" s="16">
        <v>1000000085</v>
      </c>
      <c r="B15" s="8" t="s">
        <v>1016</v>
      </c>
      <c r="C15" s="8" t="s">
        <v>1017</v>
      </c>
      <c r="D15" s="17">
        <v>43286</v>
      </c>
      <c r="E15" s="5"/>
      <c r="F15" s="4"/>
    </row>
    <row r="16" spans="1:6">
      <c r="A16" s="12">
        <v>1000000199</v>
      </c>
      <c r="B16" s="2" t="s">
        <v>1018</v>
      </c>
      <c r="C16" s="15" t="s">
        <v>780</v>
      </c>
      <c r="D16" s="3">
        <v>43874</v>
      </c>
      <c r="E16" s="4"/>
      <c r="F16" s="4"/>
    </row>
    <row r="17" spans="1:6">
      <c r="A17" s="12">
        <v>1000000076</v>
      </c>
      <c r="B17" s="2" t="s">
        <v>83</v>
      </c>
      <c r="C17" s="2" t="s">
        <v>1019</v>
      </c>
      <c r="D17" s="3">
        <v>43097</v>
      </c>
      <c r="E17" s="4"/>
      <c r="F17" s="4"/>
    </row>
    <row r="18" spans="1:6">
      <c r="A18" s="12">
        <v>1000000217</v>
      </c>
      <c r="B18" s="2" t="s">
        <v>1020</v>
      </c>
      <c r="C18" s="5" t="s">
        <v>774</v>
      </c>
      <c r="D18" s="3">
        <v>43888</v>
      </c>
      <c r="E18" s="4"/>
      <c r="F18" s="4"/>
    </row>
    <row r="19" spans="1:6">
      <c r="A19" s="12">
        <v>1000000082</v>
      </c>
      <c r="B19" s="2" t="s">
        <v>1021</v>
      </c>
      <c r="C19" s="2" t="s">
        <v>1022</v>
      </c>
      <c r="D19" s="3">
        <v>43216</v>
      </c>
      <c r="E19" s="4"/>
      <c r="F19" s="4"/>
    </row>
    <row r="20" spans="1:6">
      <c r="A20" s="12">
        <v>1000000191</v>
      </c>
      <c r="B20" s="2" t="s">
        <v>774</v>
      </c>
      <c r="C20" s="2" t="s">
        <v>1023</v>
      </c>
      <c r="D20" s="3">
        <v>43874</v>
      </c>
      <c r="E20" s="4"/>
      <c r="F20" s="4"/>
    </row>
    <row r="21" spans="1:6">
      <c r="A21" s="12">
        <v>1000000227</v>
      </c>
      <c r="B21" s="2" t="s">
        <v>816</v>
      </c>
      <c r="C21" s="5" t="s">
        <v>816</v>
      </c>
      <c r="D21" s="3">
        <v>43888</v>
      </c>
      <c r="E21" s="4"/>
      <c r="F21" s="4"/>
    </row>
    <row r="22" spans="1:6">
      <c r="A22" s="12">
        <v>1000000196</v>
      </c>
      <c r="B22" s="2" t="s">
        <v>519</v>
      </c>
      <c r="C22" s="15" t="s">
        <v>519</v>
      </c>
      <c r="D22" s="3">
        <v>43874</v>
      </c>
      <c r="E22" s="4"/>
      <c r="F22" s="4"/>
    </row>
    <row r="23" spans="1:6">
      <c r="A23" s="12">
        <v>1000000194</v>
      </c>
      <c r="B23" s="2" t="s">
        <v>1383</v>
      </c>
      <c r="C23" s="5" t="s">
        <v>1383</v>
      </c>
      <c r="D23" s="3">
        <v>43874</v>
      </c>
      <c r="E23" s="4"/>
      <c r="F23" s="4"/>
    </row>
    <row r="24" spans="1:6">
      <c r="A24" s="12">
        <v>1000000220</v>
      </c>
      <c r="B24" s="2" t="s">
        <v>539</v>
      </c>
      <c r="C24" s="5" t="s">
        <v>539</v>
      </c>
      <c r="D24" s="3">
        <v>43888</v>
      </c>
      <c r="E24" s="4"/>
      <c r="F24" s="4"/>
    </row>
    <row r="25" spans="1:6">
      <c r="A25" s="12">
        <v>1000000104</v>
      </c>
      <c r="B25" s="2" t="s">
        <v>381</v>
      </c>
      <c r="C25" s="2" t="s">
        <v>1024</v>
      </c>
      <c r="D25" s="3">
        <v>43487</v>
      </c>
      <c r="E25" s="4"/>
      <c r="F25" s="4"/>
    </row>
    <row r="26" spans="1:6">
      <c r="A26" s="12">
        <v>1000000127</v>
      </c>
      <c r="B26" s="2" t="s">
        <v>381</v>
      </c>
      <c r="C26" s="8"/>
      <c r="D26" s="3">
        <v>43670</v>
      </c>
      <c r="E26" s="4"/>
      <c r="F26" s="4"/>
    </row>
    <row r="27" spans="1:6" ht="11.45" customHeight="1">
      <c r="A27" s="12">
        <v>1000000106</v>
      </c>
      <c r="B27" s="2" t="s">
        <v>89</v>
      </c>
      <c r="C27" s="2" t="s">
        <v>1025</v>
      </c>
      <c r="D27" s="3">
        <v>43508</v>
      </c>
      <c r="E27" s="4"/>
      <c r="F27" s="4"/>
    </row>
    <row r="28" spans="1:6">
      <c r="A28" s="12">
        <v>1000000125</v>
      </c>
      <c r="B28" s="2" t="s">
        <v>725</v>
      </c>
      <c r="C28" s="2" t="s">
        <v>1026</v>
      </c>
      <c r="D28" s="3">
        <v>43668</v>
      </c>
      <c r="E28" s="4"/>
      <c r="F28" s="4"/>
    </row>
    <row r="29" spans="1:6">
      <c r="A29" s="12">
        <v>1000000126</v>
      </c>
      <c r="B29" s="2" t="s">
        <v>725</v>
      </c>
      <c r="C29" s="2" t="s">
        <v>1027</v>
      </c>
      <c r="D29" s="3">
        <v>43668</v>
      </c>
      <c r="E29" s="4"/>
      <c r="F29" s="4"/>
    </row>
    <row r="30" spans="1:6">
      <c r="A30" s="12">
        <v>1000000135</v>
      </c>
      <c r="B30" s="2" t="s">
        <v>772</v>
      </c>
      <c r="C30" s="2" t="s">
        <v>1028</v>
      </c>
      <c r="D30" s="3">
        <v>43749</v>
      </c>
      <c r="E30" s="4"/>
      <c r="F30" s="4"/>
    </row>
    <row r="31" spans="1:6">
      <c r="A31" s="12">
        <v>1000000107</v>
      </c>
      <c r="B31" s="2" t="s">
        <v>651</v>
      </c>
      <c r="C31" s="2" t="s">
        <v>1029</v>
      </c>
      <c r="D31" s="3">
        <v>43508</v>
      </c>
      <c r="E31" s="4"/>
      <c r="F31" s="4"/>
    </row>
    <row r="32" spans="1:6">
      <c r="A32" s="12">
        <v>1000000093</v>
      </c>
      <c r="B32" s="2" t="s">
        <v>1030</v>
      </c>
      <c r="C32" s="2" t="s">
        <v>1031</v>
      </c>
      <c r="D32" s="3">
        <v>43356</v>
      </c>
      <c r="E32" s="4"/>
      <c r="F32" s="4"/>
    </row>
    <row r="33" spans="1:6">
      <c r="A33" s="12">
        <v>1000000108</v>
      </c>
      <c r="B33" s="2" t="s">
        <v>517</v>
      </c>
      <c r="C33" s="2" t="s">
        <v>1032</v>
      </c>
      <c r="D33" s="3">
        <v>43508</v>
      </c>
      <c r="E33" s="4"/>
      <c r="F33" s="4"/>
    </row>
    <row r="34" spans="1:6">
      <c r="A34" s="12">
        <v>1000000415</v>
      </c>
      <c r="B34" s="2" t="s">
        <v>1033</v>
      </c>
      <c r="C34" s="2" t="s">
        <v>1034</v>
      </c>
      <c r="D34" s="3">
        <v>44525</v>
      </c>
      <c r="E34" s="4"/>
      <c r="F34" s="4"/>
    </row>
    <row r="35" spans="1:6">
      <c r="A35" s="12">
        <v>1000000413</v>
      </c>
      <c r="B35" s="8" t="s">
        <v>1035</v>
      </c>
      <c r="C35" s="2" t="s">
        <v>1034</v>
      </c>
      <c r="D35" s="3">
        <v>44525</v>
      </c>
      <c r="E35" s="4"/>
      <c r="F35" s="4"/>
    </row>
    <row r="36" spans="1:6">
      <c r="A36" s="12">
        <v>1000000414</v>
      </c>
      <c r="B36" s="2" t="s">
        <v>179</v>
      </c>
      <c r="C36" s="2" t="s">
        <v>1034</v>
      </c>
      <c r="D36" s="3">
        <v>44525</v>
      </c>
      <c r="E36" s="4"/>
      <c r="F36" s="4"/>
    </row>
    <row r="37" spans="1:6">
      <c r="A37" s="12">
        <v>1000000410</v>
      </c>
      <c r="B37" s="2" t="s">
        <v>1036</v>
      </c>
      <c r="C37" s="8" t="s">
        <v>1037</v>
      </c>
      <c r="D37" s="3">
        <v>44525</v>
      </c>
      <c r="E37" s="4"/>
      <c r="F37" s="4"/>
    </row>
    <row r="38" spans="1:6">
      <c r="A38" s="12">
        <v>1000000409</v>
      </c>
      <c r="B38" s="2" t="s">
        <v>824</v>
      </c>
      <c r="C38" s="2" t="s">
        <v>1034</v>
      </c>
      <c r="D38" s="3">
        <v>44525</v>
      </c>
      <c r="E38" s="5"/>
      <c r="F38" s="5"/>
    </row>
    <row r="39" spans="1:6">
      <c r="A39" s="12">
        <v>1000000767</v>
      </c>
      <c r="B39" s="2" t="s">
        <v>541</v>
      </c>
      <c r="C39" s="2" t="s">
        <v>1038</v>
      </c>
      <c r="D39" s="3">
        <v>44937</v>
      </c>
      <c r="E39" s="4"/>
      <c r="F39" s="4"/>
    </row>
    <row r="40" spans="1:6">
      <c r="A40" s="12">
        <v>1000000768</v>
      </c>
      <c r="B40" s="2" t="s">
        <v>541</v>
      </c>
      <c r="C40" s="2" t="s">
        <v>1038</v>
      </c>
      <c r="D40" s="3">
        <v>44937</v>
      </c>
      <c r="E40" s="4"/>
      <c r="F40" s="4"/>
    </row>
    <row r="41" spans="1:6">
      <c r="A41" s="12">
        <v>1000000684</v>
      </c>
      <c r="B41" s="2" t="s">
        <v>845</v>
      </c>
      <c r="C41" s="2" t="s">
        <v>1039</v>
      </c>
      <c r="D41" s="3">
        <v>44720</v>
      </c>
      <c r="E41" s="4"/>
      <c r="F41" s="4"/>
    </row>
    <row r="42" spans="1:6">
      <c r="A42" s="12">
        <v>1000000680</v>
      </c>
      <c r="B42" s="2" t="s">
        <v>445</v>
      </c>
      <c r="C42" s="8" t="s">
        <v>1040</v>
      </c>
      <c r="D42" s="3"/>
      <c r="E42" s="4"/>
      <c r="F42" s="4"/>
    </row>
    <row r="43" spans="1:6">
      <c r="A43" s="12">
        <v>1000000681</v>
      </c>
      <c r="B43" s="2" t="s">
        <v>838</v>
      </c>
      <c r="C43" s="2" t="s">
        <v>1041</v>
      </c>
      <c r="D43" s="3">
        <v>44720</v>
      </c>
      <c r="E43" s="4"/>
      <c r="F43" s="4"/>
    </row>
    <row r="44" spans="1:6">
      <c r="A44" s="12">
        <v>1000000682</v>
      </c>
      <c r="B44" s="2" t="s">
        <v>1042</v>
      </c>
      <c r="C44" s="2" t="s">
        <v>1041</v>
      </c>
      <c r="D44" s="3">
        <v>44720</v>
      </c>
      <c r="E44" s="4"/>
      <c r="F44" s="4"/>
    </row>
    <row r="45" spans="1:6">
      <c r="A45" s="13">
        <v>1000001020</v>
      </c>
      <c r="B45" s="2" t="s">
        <v>1043</v>
      </c>
      <c r="C45" s="5" t="s">
        <v>1043</v>
      </c>
      <c r="D45" s="14">
        <v>45589</v>
      </c>
      <c r="E45" s="4"/>
      <c r="F45" s="4"/>
    </row>
    <row r="46" spans="1:6">
      <c r="A46" s="13">
        <v>1000001022</v>
      </c>
      <c r="B46" s="2" t="s">
        <v>1043</v>
      </c>
      <c r="C46" s="5" t="s">
        <v>1043</v>
      </c>
      <c r="D46" s="14">
        <v>45589</v>
      </c>
      <c r="E46" s="4"/>
      <c r="F46" s="4"/>
    </row>
    <row r="47" spans="1:6">
      <c r="A47" s="13">
        <v>1000000997</v>
      </c>
      <c r="B47" s="2" t="s">
        <v>829</v>
      </c>
      <c r="C47" s="5" t="s">
        <v>829</v>
      </c>
      <c r="D47" s="14">
        <v>45512</v>
      </c>
      <c r="E47" s="4"/>
      <c r="F47" s="4"/>
    </row>
    <row r="48" spans="1:6">
      <c r="A48" s="13">
        <v>1000000999</v>
      </c>
      <c r="B48" s="2" t="s">
        <v>1044</v>
      </c>
      <c r="C48" s="5" t="s">
        <v>1044</v>
      </c>
      <c r="D48" s="14">
        <v>45512</v>
      </c>
      <c r="E48" s="4"/>
      <c r="F48" s="4"/>
    </row>
    <row r="49" spans="1:6">
      <c r="A49" s="13">
        <v>1000000998</v>
      </c>
      <c r="B49" s="2" t="s">
        <v>1045</v>
      </c>
      <c r="C49" s="5" t="s">
        <v>1046</v>
      </c>
      <c r="D49" s="14">
        <v>45512</v>
      </c>
      <c r="E49" s="4"/>
      <c r="F49" s="4"/>
    </row>
    <row r="50" spans="1:6">
      <c r="A50" s="12">
        <v>1000000368</v>
      </c>
      <c r="B50" s="2" t="s">
        <v>249</v>
      </c>
      <c r="C50" s="2" t="s">
        <v>1047</v>
      </c>
      <c r="D50" s="3">
        <v>44308</v>
      </c>
      <c r="E50" s="4"/>
      <c r="F50" s="4"/>
    </row>
    <row r="51" spans="1:6">
      <c r="A51" s="12">
        <v>1000000369</v>
      </c>
      <c r="B51" s="2" t="s">
        <v>249</v>
      </c>
      <c r="C51" s="2" t="s">
        <v>1048</v>
      </c>
      <c r="D51" s="3">
        <v>44308</v>
      </c>
      <c r="E51" s="4"/>
      <c r="F51" s="4"/>
    </row>
    <row r="52" spans="1:6">
      <c r="A52" s="12">
        <v>1000000381</v>
      </c>
      <c r="B52" s="2" t="s">
        <v>588</v>
      </c>
      <c r="C52" s="2" t="s">
        <v>1049</v>
      </c>
      <c r="D52" s="3">
        <v>44477</v>
      </c>
      <c r="E52" s="4"/>
      <c r="F52" s="4"/>
    </row>
    <row r="53" spans="1:6">
      <c r="A53" s="12">
        <v>1000000382</v>
      </c>
      <c r="B53" s="2" t="s">
        <v>588</v>
      </c>
      <c r="C53" s="2" t="s">
        <v>1049</v>
      </c>
      <c r="D53" s="3">
        <v>44477</v>
      </c>
      <c r="E53" s="4"/>
      <c r="F53" s="4"/>
    </row>
    <row r="54" spans="1:6">
      <c r="A54" s="12">
        <v>1000000902</v>
      </c>
      <c r="B54" s="2" t="s">
        <v>791</v>
      </c>
      <c r="C54" s="2" t="s">
        <v>847</v>
      </c>
      <c r="D54" s="3">
        <v>45184</v>
      </c>
      <c r="E54" s="4"/>
      <c r="F54" s="4"/>
    </row>
    <row r="55" spans="1:6">
      <c r="A55" s="12">
        <v>1000000903</v>
      </c>
      <c r="B55" s="2" t="s">
        <v>791</v>
      </c>
      <c r="C55" s="2" t="s">
        <v>847</v>
      </c>
      <c r="D55" s="3">
        <v>45184</v>
      </c>
      <c r="E55" s="4"/>
      <c r="F55" s="4"/>
    </row>
    <row r="56" spans="1:6">
      <c r="A56" s="12">
        <v>1000000898</v>
      </c>
      <c r="B56" s="2" t="s">
        <v>687</v>
      </c>
      <c r="C56" s="2" t="s">
        <v>847</v>
      </c>
      <c r="D56" s="3">
        <v>45184</v>
      </c>
      <c r="E56" s="4"/>
      <c r="F56" s="4"/>
    </row>
    <row r="57" spans="1:6">
      <c r="A57" s="12">
        <v>1000000900</v>
      </c>
      <c r="B57" s="2" t="s">
        <v>394</v>
      </c>
      <c r="C57" s="2" t="s">
        <v>847</v>
      </c>
      <c r="D57" s="3">
        <v>45184</v>
      </c>
      <c r="E57" s="4"/>
      <c r="F57" s="4"/>
    </row>
    <row r="58" spans="1:6">
      <c r="A58" s="12">
        <v>1000000905</v>
      </c>
      <c r="B58" s="2" t="s">
        <v>394</v>
      </c>
      <c r="C58" s="2" t="s">
        <v>847</v>
      </c>
      <c r="D58" s="3">
        <v>45184</v>
      </c>
      <c r="E58" s="4"/>
      <c r="F58" s="4"/>
    </row>
    <row r="59" spans="1:6">
      <c r="A59" s="11">
        <v>1000000907</v>
      </c>
      <c r="B59" s="2" t="s">
        <v>847</v>
      </c>
      <c r="C59" s="2" t="s">
        <v>847</v>
      </c>
      <c r="D59" s="3">
        <v>45184</v>
      </c>
      <c r="E59" s="4"/>
      <c r="F59" s="4"/>
    </row>
    <row r="60" spans="1:6">
      <c r="A60" s="12">
        <v>1000000899</v>
      </c>
      <c r="B60" s="2" t="s">
        <v>689</v>
      </c>
      <c r="C60" s="2" t="s">
        <v>1050</v>
      </c>
      <c r="D60" s="3">
        <v>45184</v>
      </c>
      <c r="E60" s="4"/>
      <c r="F60" s="4"/>
    </row>
    <row r="61" spans="1:6">
      <c r="A61" s="12">
        <v>1000000944</v>
      </c>
      <c r="B61" s="2" t="s">
        <v>1051</v>
      </c>
      <c r="C61" s="5" t="s">
        <v>1051</v>
      </c>
      <c r="D61" s="3">
        <v>45357</v>
      </c>
      <c r="E61" s="4"/>
      <c r="F61" s="4"/>
    </row>
    <row r="62" spans="1:6">
      <c r="A62" s="11">
        <v>1000000949</v>
      </c>
      <c r="B62" s="2" t="s">
        <v>197</v>
      </c>
      <c r="C62" s="5" t="s">
        <v>197</v>
      </c>
      <c r="D62" s="3">
        <v>45357</v>
      </c>
      <c r="E62" s="4"/>
      <c r="F62" s="4"/>
    </row>
    <row r="63" spans="1:6">
      <c r="A63" s="11">
        <v>1000000948</v>
      </c>
      <c r="B63" s="2" t="s">
        <v>448</v>
      </c>
      <c r="C63" s="5" t="s">
        <v>448</v>
      </c>
      <c r="D63" s="3">
        <v>45357</v>
      </c>
      <c r="E63" s="4"/>
      <c r="F63" s="4"/>
    </row>
    <row r="64" spans="1:6">
      <c r="A64" s="12">
        <v>1000000094</v>
      </c>
      <c r="B64" s="2" t="s">
        <v>807</v>
      </c>
      <c r="C64" s="2" t="s">
        <v>1052</v>
      </c>
      <c r="D64" s="3">
        <v>43376</v>
      </c>
      <c r="E64" s="4"/>
      <c r="F64" s="4"/>
    </row>
    <row r="65" spans="1:6">
      <c r="A65" s="12">
        <v>1000000226</v>
      </c>
      <c r="B65" s="2" t="s">
        <v>812</v>
      </c>
      <c r="C65" s="5" t="s">
        <v>813</v>
      </c>
      <c r="D65" s="3">
        <v>43888</v>
      </c>
      <c r="E65" s="4"/>
      <c r="F65" s="4"/>
    </row>
    <row r="66" spans="1:6">
      <c r="A66" s="13">
        <v>1000001021</v>
      </c>
      <c r="B66" s="5" t="s">
        <v>1053</v>
      </c>
      <c r="C66" s="5" t="s">
        <v>94</v>
      </c>
      <c r="D66" s="14">
        <v>45589</v>
      </c>
      <c r="E66" s="4"/>
      <c r="F66" s="4"/>
    </row>
    <row r="67" spans="1:6">
      <c r="A67" s="12">
        <v>1000000080</v>
      </c>
      <c r="B67" s="2" t="s">
        <v>1054</v>
      </c>
      <c r="C67" s="2" t="s">
        <v>1055</v>
      </c>
      <c r="D67" s="3">
        <v>43200</v>
      </c>
      <c r="E67" s="4"/>
      <c r="F67" s="4"/>
    </row>
    <row r="68" spans="1:6">
      <c r="A68" s="12">
        <v>1000000661</v>
      </c>
      <c r="B68" s="2" t="s">
        <v>1056</v>
      </c>
      <c r="C68" s="2" t="s">
        <v>1057</v>
      </c>
      <c r="D68" s="3">
        <v>44707</v>
      </c>
      <c r="E68" s="4"/>
      <c r="F68" s="4"/>
    </row>
    <row r="69" spans="1:6">
      <c r="A69" s="12">
        <v>1000000662</v>
      </c>
      <c r="B69" s="2" t="s">
        <v>1056</v>
      </c>
      <c r="C69" s="2" t="s">
        <v>1057</v>
      </c>
      <c r="D69" s="3">
        <v>44707</v>
      </c>
      <c r="E69" s="4"/>
      <c r="F69" s="4"/>
    </row>
    <row r="70" spans="1:6">
      <c r="A70" s="12">
        <v>1000000133</v>
      </c>
      <c r="B70" s="2" t="s">
        <v>385</v>
      </c>
      <c r="C70" s="2" t="s">
        <v>1058</v>
      </c>
      <c r="D70" s="3">
        <v>43749</v>
      </c>
      <c r="E70" s="4"/>
      <c r="F70" s="4"/>
    </row>
    <row r="71" spans="1:6">
      <c r="A71" s="12">
        <v>1000000134</v>
      </c>
      <c r="B71" s="2" t="s">
        <v>385</v>
      </c>
      <c r="C71" s="2" t="s">
        <v>1058</v>
      </c>
      <c r="D71" s="3">
        <v>43749</v>
      </c>
      <c r="E71" s="4"/>
      <c r="F71" s="4"/>
    </row>
    <row r="72" spans="1:6">
      <c r="A72" s="12">
        <v>1000000202</v>
      </c>
      <c r="B72" s="2" t="s">
        <v>234</v>
      </c>
      <c r="C72" s="5" t="s">
        <v>235</v>
      </c>
      <c r="D72" s="3">
        <v>43874</v>
      </c>
      <c r="E72" s="4"/>
      <c r="F72" s="4"/>
    </row>
    <row r="73" spans="1:6">
      <c r="A73" s="12">
        <v>1000000946</v>
      </c>
      <c r="B73" s="2" t="s">
        <v>1059</v>
      </c>
      <c r="C73" s="5" t="s">
        <v>657</v>
      </c>
      <c r="D73" s="3">
        <v>45357</v>
      </c>
      <c r="E73" s="4"/>
      <c r="F73" s="4"/>
    </row>
    <row r="74" spans="1:6">
      <c r="A74" s="12">
        <v>1000000947</v>
      </c>
      <c r="B74" s="2" t="s">
        <v>1059</v>
      </c>
      <c r="C74" s="5" t="s">
        <v>657</v>
      </c>
      <c r="D74" s="3">
        <v>45357</v>
      </c>
      <c r="E74" s="4"/>
      <c r="F74" s="4"/>
    </row>
    <row r="75" spans="1:6">
      <c r="A75" s="12">
        <v>1000000128</v>
      </c>
      <c r="B75" s="2" t="s">
        <v>1060</v>
      </c>
      <c r="C75" s="2" t="s">
        <v>1061</v>
      </c>
      <c r="D75" s="3">
        <v>43670</v>
      </c>
      <c r="E75" s="4"/>
      <c r="F75" s="4"/>
    </row>
    <row r="76" spans="1:6">
      <c r="A76" s="12">
        <v>1000000132</v>
      </c>
      <c r="B76" s="2" t="s">
        <v>1060</v>
      </c>
      <c r="C76" s="2" t="s">
        <v>1062</v>
      </c>
      <c r="D76" s="3">
        <v>43749</v>
      </c>
      <c r="E76" s="4"/>
      <c r="F76" s="4"/>
    </row>
    <row r="77" spans="1:6">
      <c r="A77" s="12">
        <v>1000000131</v>
      </c>
      <c r="B77" s="2" t="s">
        <v>1063</v>
      </c>
      <c r="C77" s="8" t="s">
        <v>1064</v>
      </c>
      <c r="D77" s="3">
        <v>43747</v>
      </c>
      <c r="E77" s="4"/>
      <c r="F77" s="4"/>
    </row>
    <row r="78" spans="1:6">
      <c r="A78" s="12">
        <v>1000000225</v>
      </c>
      <c r="B78" s="2" t="s">
        <v>771</v>
      </c>
      <c r="C78" s="5" t="s">
        <v>788</v>
      </c>
      <c r="D78" s="3">
        <v>43888</v>
      </c>
      <c r="E78" s="4"/>
      <c r="F78" s="4"/>
    </row>
    <row r="79" spans="1:6">
      <c r="A79" s="12">
        <v>1000000200</v>
      </c>
      <c r="B79" s="2" t="s">
        <v>1065</v>
      </c>
      <c r="C79" s="15" t="s">
        <v>1066</v>
      </c>
      <c r="D79" s="3">
        <v>43874</v>
      </c>
      <c r="E79" s="4"/>
      <c r="F79" s="4"/>
    </row>
    <row r="80" spans="1:6">
      <c r="A80" s="12">
        <v>1000000201</v>
      </c>
      <c r="B80" s="2" t="s">
        <v>1065</v>
      </c>
      <c r="C80" s="15" t="s">
        <v>1066</v>
      </c>
      <c r="D80" s="3">
        <v>43874</v>
      </c>
      <c r="E80" s="4"/>
      <c r="F80" s="4"/>
    </row>
    <row r="81" spans="1:6">
      <c r="A81" s="12">
        <v>1000000411</v>
      </c>
      <c r="B81" s="8" t="s">
        <v>1067</v>
      </c>
      <c r="C81" s="8" t="s">
        <v>1068</v>
      </c>
      <c r="D81" s="3">
        <v>44525</v>
      </c>
      <c r="E81" s="4"/>
      <c r="F81" s="4"/>
    </row>
    <row r="82" spans="1:6">
      <c r="A82" s="12">
        <v>1000000412</v>
      </c>
      <c r="B82" s="8" t="s">
        <v>1067</v>
      </c>
      <c r="C82" s="8" t="s">
        <v>1068</v>
      </c>
      <c r="D82" s="3">
        <v>44525</v>
      </c>
      <c r="E82" s="4"/>
      <c r="F82" s="4"/>
    </row>
    <row r="83" spans="1:6">
      <c r="A83" s="12">
        <v>1000000102</v>
      </c>
      <c r="B83" s="2" t="s">
        <v>91</v>
      </c>
      <c r="C83" s="8" t="s">
        <v>1069</v>
      </c>
      <c r="D83" s="3">
        <v>43401</v>
      </c>
      <c r="E83" s="4"/>
      <c r="F83" s="4"/>
    </row>
    <row r="84" spans="1:6">
      <c r="A84" s="13">
        <v>1000001005</v>
      </c>
      <c r="B84" s="5" t="s">
        <v>1070</v>
      </c>
      <c r="C84" s="5" t="s">
        <v>398</v>
      </c>
      <c r="D84" s="14">
        <v>45533</v>
      </c>
      <c r="E84" s="4"/>
      <c r="F84" s="4"/>
    </row>
    <row r="85" spans="1:6">
      <c r="A85" s="13">
        <v>1000001004</v>
      </c>
      <c r="B85" s="5" t="s">
        <v>1071</v>
      </c>
      <c r="C85" s="5" t="s">
        <v>398</v>
      </c>
      <c r="D85" s="14">
        <v>45533</v>
      </c>
      <c r="E85" s="4"/>
      <c r="F85" s="4"/>
    </row>
    <row r="86" spans="1:6">
      <c r="A86" s="12">
        <v>1000000673</v>
      </c>
      <c r="B86" s="2" t="s">
        <v>1072</v>
      </c>
      <c r="C86" s="2" t="s">
        <v>1073</v>
      </c>
      <c r="D86" s="3">
        <v>44707</v>
      </c>
      <c r="E86" s="4"/>
      <c r="F86" s="4"/>
    </row>
    <row r="87" spans="1:6">
      <c r="A87" s="12">
        <v>1000000674</v>
      </c>
      <c r="B87" s="2" t="s">
        <v>1072</v>
      </c>
      <c r="C87" s="2" t="s">
        <v>1073</v>
      </c>
      <c r="D87" s="3">
        <v>44707</v>
      </c>
      <c r="E87" s="4"/>
      <c r="F87" s="4"/>
    </row>
    <row r="88" spans="1:6">
      <c r="A88" s="12">
        <v>1000000204</v>
      </c>
      <c r="B88" s="2" t="s">
        <v>650</v>
      </c>
      <c r="C88" s="5" t="s">
        <v>653</v>
      </c>
      <c r="D88" s="3">
        <v>43874</v>
      </c>
      <c r="E88" s="4"/>
      <c r="F88" s="4"/>
    </row>
    <row r="89" spans="1:6">
      <c r="A89" s="12">
        <v>1000000901</v>
      </c>
      <c r="B89" s="2" t="s">
        <v>1074</v>
      </c>
      <c r="C89" s="8" t="s">
        <v>1075</v>
      </c>
      <c r="D89" s="3">
        <v>45184</v>
      </c>
      <c r="E89" s="4"/>
      <c r="F89" s="4"/>
    </row>
    <row r="90" spans="1:6">
      <c r="A90" s="11">
        <v>1000000906</v>
      </c>
      <c r="B90" s="2" t="s">
        <v>1074</v>
      </c>
      <c r="C90" s="8" t="s">
        <v>1075</v>
      </c>
      <c r="D90" s="3">
        <v>45184</v>
      </c>
      <c r="E90" s="4"/>
      <c r="F90" s="4"/>
    </row>
    <row r="91" spans="1:6">
      <c r="A91" s="13">
        <v>1000001002</v>
      </c>
      <c r="B91" s="5" t="s">
        <v>239</v>
      </c>
      <c r="C91" s="5" t="s">
        <v>240</v>
      </c>
      <c r="D91" s="14">
        <v>45533</v>
      </c>
      <c r="E91" s="4"/>
      <c r="F91" s="4"/>
    </row>
    <row r="92" spans="1:6">
      <c r="A92" s="13">
        <v>1000001003</v>
      </c>
      <c r="B92" s="5" t="s">
        <v>239</v>
      </c>
      <c r="C92" s="5" t="s">
        <v>240</v>
      </c>
      <c r="D92" s="14">
        <v>45533</v>
      </c>
      <c r="E92" s="4"/>
      <c r="F92" s="4"/>
    </row>
    <row r="93" spans="1:6">
      <c r="A93" s="12">
        <v>1000000683</v>
      </c>
      <c r="B93" s="8" t="s">
        <v>1016</v>
      </c>
      <c r="C93" s="8" t="s">
        <v>1040</v>
      </c>
      <c r="D93" s="3">
        <v>44720</v>
      </c>
      <c r="E93" s="4" t="s">
        <v>1077</v>
      </c>
      <c r="F93" s="4"/>
    </row>
    <row r="94" spans="1:6">
      <c r="A94" s="11">
        <v>1000000075</v>
      </c>
      <c r="B94" s="2" t="s">
        <v>1078</v>
      </c>
      <c r="C94" s="2" t="s">
        <v>1079</v>
      </c>
      <c r="D94" s="3">
        <v>43097</v>
      </c>
      <c r="E94" s="4"/>
      <c r="F94" s="4"/>
    </row>
    <row r="95" spans="1:6">
      <c r="A95" s="20">
        <v>1000000193</v>
      </c>
      <c r="B95" s="2" t="s">
        <v>1080</v>
      </c>
      <c r="C95" s="5" t="s">
        <v>525</v>
      </c>
      <c r="D95" s="3">
        <v>43874</v>
      </c>
      <c r="E95" s="9"/>
      <c r="F95" s="9"/>
    </row>
    <row r="96" spans="1:6">
      <c r="A96" s="12">
        <v>1000000945</v>
      </c>
      <c r="B96" s="2" t="s">
        <v>1080</v>
      </c>
      <c r="C96" s="5" t="s">
        <v>1081</v>
      </c>
      <c r="D96" s="3">
        <v>45357</v>
      </c>
      <c r="E96" s="4"/>
      <c r="F96" s="4"/>
    </row>
    <row r="97" spans="1:6">
      <c r="A97" s="12">
        <v>1000000198</v>
      </c>
      <c r="B97" s="8" t="s">
        <v>1082</v>
      </c>
      <c r="C97" s="15" t="s">
        <v>432</v>
      </c>
      <c r="D97" s="3">
        <v>43874</v>
      </c>
      <c r="E97" s="4"/>
      <c r="F97" s="4"/>
    </row>
    <row r="98" spans="1:6">
      <c r="A98" s="12">
        <v>1000000219</v>
      </c>
      <c r="B98" s="8" t="s">
        <v>1082</v>
      </c>
      <c r="C98" s="5" t="s">
        <v>434</v>
      </c>
      <c r="D98" s="3">
        <v>43888</v>
      </c>
      <c r="E98" s="4"/>
      <c r="F98" s="4"/>
    </row>
    <row r="99" spans="1:6">
      <c r="A99" s="12">
        <v>1000000192</v>
      </c>
      <c r="B99" s="2" t="s">
        <v>776</v>
      </c>
      <c r="C99" s="8" t="s">
        <v>1083</v>
      </c>
      <c r="D99" s="3">
        <v>43874</v>
      </c>
      <c r="E99" s="4"/>
      <c r="F99" s="4"/>
    </row>
    <row r="100" spans="1:6">
      <c r="A100" s="12">
        <v>1000000197</v>
      </c>
      <c r="B100" s="2" t="s">
        <v>776</v>
      </c>
      <c r="C100" s="15" t="s">
        <v>777</v>
      </c>
      <c r="D100" s="3">
        <v>43874</v>
      </c>
      <c r="E100" s="4"/>
      <c r="F100" s="4"/>
    </row>
    <row r="101" spans="1:6">
      <c r="A101" s="12">
        <v>1000000637</v>
      </c>
      <c r="B101" s="2" t="s">
        <v>1084</v>
      </c>
      <c r="C101" s="2" t="s">
        <v>1085</v>
      </c>
      <c r="D101" s="3">
        <v>44663</v>
      </c>
      <c r="E101" s="4"/>
      <c r="F101" s="4"/>
    </row>
    <row r="102" spans="1:6">
      <c r="A102" s="12">
        <v>1000000638</v>
      </c>
      <c r="B102" s="2" t="s">
        <v>1084</v>
      </c>
      <c r="C102" s="2" t="s">
        <v>1085</v>
      </c>
      <c r="D102" s="3">
        <v>44663</v>
      </c>
      <c r="E102" s="4"/>
      <c r="F102" s="4"/>
    </row>
    <row r="103" spans="1:6">
      <c r="A103" s="12">
        <v>1000000679</v>
      </c>
      <c r="B103" s="8" t="s">
        <v>1397</v>
      </c>
      <c r="C103" s="2" t="s">
        <v>1076</v>
      </c>
      <c r="D103" s="3">
        <v>44720</v>
      </c>
      <c r="E103" s="4"/>
      <c r="F103" s="4"/>
    </row>
    <row r="104" spans="1:6">
      <c r="A104" s="12">
        <v>1000000203</v>
      </c>
      <c r="B104" s="2" t="s">
        <v>389</v>
      </c>
      <c r="C104" s="5" t="s">
        <v>390</v>
      </c>
      <c r="D104" s="3">
        <v>43874</v>
      </c>
      <c r="E104" s="4"/>
      <c r="F104" s="4"/>
    </row>
    <row r="105" spans="1:6">
      <c r="A105" s="12">
        <v>1000000224</v>
      </c>
      <c r="B105" s="2" t="s">
        <v>389</v>
      </c>
      <c r="C105" s="5" t="s">
        <v>390</v>
      </c>
      <c r="D105" s="3">
        <v>43888</v>
      </c>
      <c r="E105" s="4"/>
      <c r="F105" s="4"/>
    </row>
    <row r="131" spans="1:1">
      <c r="A131" s="12">
        <v>1000000683</v>
      </c>
    </row>
    <row r="132" spans="1:1">
      <c r="A132" s="16">
        <v>1000000085</v>
      </c>
    </row>
  </sheetData>
  <autoFilter ref="A1:F105" xr:uid="{9DB96229-837C-41C6-81F0-7838D558E3D7}">
    <sortState xmlns:xlrd2="http://schemas.microsoft.com/office/spreadsheetml/2017/richdata2" ref="A2:F105">
      <sortCondition ref="B1:B105"/>
    </sortState>
  </autoFilter>
  <sortState xmlns:xlrd2="http://schemas.microsoft.com/office/spreadsheetml/2017/richdata2" ref="A2:E79">
    <sortCondition ref="A2:A79"/>
  </sortState>
  <phoneticPr fontId="8" type="noConversion"/>
  <pageMargins left="0.7" right="0.7" top="0.78740157499999996" bottom="0.78740157499999996" header="0.3" footer="0.3"/>
  <pageSetup paperSize="9" orientation="portrait" r:id="rId1"/>
  <customProperties>
    <customPr name="_pios_id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403D-A24F-4016-9B2F-3BDE28465EF8}">
  <sheetPr codeName="Sheet6"/>
  <dimension ref="A2:L40"/>
  <sheetViews>
    <sheetView workbookViewId="0">
      <selection activeCell="I4" sqref="I4"/>
    </sheetView>
  </sheetViews>
  <sheetFormatPr defaultRowHeight="12.75"/>
  <cols>
    <col min="1" max="1" width="31.42578125" customWidth="1"/>
    <col min="2" max="2" width="20.5703125" customWidth="1"/>
    <col min="3" max="3" width="23" customWidth="1"/>
    <col min="4" max="4" width="17" customWidth="1"/>
    <col min="6" max="6" width="22.7109375" customWidth="1"/>
    <col min="7" max="7" width="8.5703125" bestFit="1" customWidth="1"/>
    <col min="9" max="9" width="21" customWidth="1"/>
  </cols>
  <sheetData>
    <row r="2" spans="1:12" ht="15">
      <c r="A2" s="190" t="s">
        <v>1086</v>
      </c>
      <c r="B2" s="190" t="s">
        <v>97</v>
      </c>
      <c r="C2" s="190" t="s">
        <v>1087</v>
      </c>
      <c r="D2" s="190" t="s">
        <v>1088</v>
      </c>
      <c r="E2" s="190" t="s">
        <v>1088</v>
      </c>
      <c r="F2" s="191">
        <v>1082024</v>
      </c>
      <c r="G2" s="190" t="s">
        <v>1089</v>
      </c>
      <c r="H2" s="190">
        <v>72</v>
      </c>
      <c r="I2" s="190" t="s">
        <v>941</v>
      </c>
      <c r="J2" s="190">
        <v>19461</v>
      </c>
      <c r="K2" s="190" t="s">
        <v>1090</v>
      </c>
      <c r="L2" s="190" t="s">
        <v>1091</v>
      </c>
    </row>
    <row r="3" spans="1:12" ht="15">
      <c r="A3" s="190" t="s">
        <v>456</v>
      </c>
      <c r="B3" s="190" t="s">
        <v>457</v>
      </c>
      <c r="C3" s="190" t="s">
        <v>1092</v>
      </c>
      <c r="D3" s="190" t="s">
        <v>1088</v>
      </c>
      <c r="E3" s="190" t="s">
        <v>1088</v>
      </c>
      <c r="F3" s="191">
        <v>4062024</v>
      </c>
      <c r="G3" s="190" t="s">
        <v>1089</v>
      </c>
      <c r="H3" s="190">
        <v>72</v>
      </c>
      <c r="I3" s="190" t="s">
        <v>490</v>
      </c>
      <c r="J3" s="190">
        <v>19092</v>
      </c>
      <c r="K3" s="190" t="s">
        <v>1090</v>
      </c>
      <c r="L3" s="190" t="s">
        <v>1091</v>
      </c>
    </row>
    <row r="4" spans="1:12" ht="15">
      <c r="A4" s="190" t="s">
        <v>1093</v>
      </c>
      <c r="B4" s="190" t="s">
        <v>634</v>
      </c>
      <c r="C4" s="190" t="s">
        <v>1094</v>
      </c>
      <c r="D4" s="190" t="s">
        <v>1088</v>
      </c>
      <c r="E4" s="190" t="s">
        <v>1088</v>
      </c>
      <c r="F4" s="191">
        <v>18032019</v>
      </c>
      <c r="G4" s="190" t="s">
        <v>1089</v>
      </c>
      <c r="H4" s="190">
        <v>71</v>
      </c>
      <c r="I4" s="190" t="s">
        <v>968</v>
      </c>
      <c r="J4" s="190">
        <v>11640</v>
      </c>
      <c r="K4" s="190" t="s">
        <v>1090</v>
      </c>
      <c r="L4" s="190" t="s">
        <v>1091</v>
      </c>
    </row>
    <row r="5" spans="1:12" ht="15">
      <c r="A5" s="190" t="s">
        <v>958</v>
      </c>
      <c r="B5" s="190" t="s">
        <v>484</v>
      </c>
      <c r="C5" s="190" t="s">
        <v>1095</v>
      </c>
      <c r="D5" s="190" t="s">
        <v>1096</v>
      </c>
      <c r="E5" s="190" t="s">
        <v>1088</v>
      </c>
      <c r="F5" s="191">
        <v>5022019</v>
      </c>
      <c r="G5" s="190" t="s">
        <v>1089</v>
      </c>
      <c r="H5" s="190">
        <v>72</v>
      </c>
      <c r="I5" s="190" t="s">
        <v>959</v>
      </c>
      <c r="J5" s="190">
        <v>11524</v>
      </c>
      <c r="K5" s="190" t="s">
        <v>1090</v>
      </c>
      <c r="L5" s="190" t="s">
        <v>1091</v>
      </c>
    </row>
    <row r="6" spans="1:12" ht="15">
      <c r="A6" s="190" t="s">
        <v>1097</v>
      </c>
      <c r="B6" s="190" t="s">
        <v>1098</v>
      </c>
      <c r="C6" s="190" t="s">
        <v>1099</v>
      </c>
      <c r="D6" s="190" t="s">
        <v>1100</v>
      </c>
      <c r="E6" s="190" t="s">
        <v>1088</v>
      </c>
      <c r="F6" s="191">
        <v>27012025</v>
      </c>
      <c r="G6" s="190" t="s">
        <v>1089</v>
      </c>
      <c r="H6" s="190">
        <v>71</v>
      </c>
      <c r="I6" s="190" t="s">
        <v>113</v>
      </c>
      <c r="J6" s="190">
        <v>20198</v>
      </c>
      <c r="K6" s="190" t="s">
        <v>1090</v>
      </c>
      <c r="L6" s="190" t="s">
        <v>1091</v>
      </c>
    </row>
    <row r="7" spans="1:12" ht="15">
      <c r="A7" s="190" t="s">
        <v>1101</v>
      </c>
      <c r="B7" s="190" t="s">
        <v>206</v>
      </c>
      <c r="C7" s="190" t="s">
        <v>1102</v>
      </c>
      <c r="D7" s="190" t="s">
        <v>1088</v>
      </c>
      <c r="E7" s="190" t="s">
        <v>1088</v>
      </c>
      <c r="F7" s="191">
        <v>3052021</v>
      </c>
      <c r="G7" s="190" t="s">
        <v>1089</v>
      </c>
      <c r="H7" s="190">
        <v>71</v>
      </c>
      <c r="I7" s="190" t="s">
        <v>949</v>
      </c>
      <c r="J7" s="190">
        <v>14238</v>
      </c>
      <c r="K7" s="190" t="s">
        <v>1090</v>
      </c>
      <c r="L7" s="190" t="s">
        <v>1091</v>
      </c>
    </row>
    <row r="8" spans="1:12" ht="15">
      <c r="A8" s="190" t="s">
        <v>1103</v>
      </c>
      <c r="B8" s="190" t="s">
        <v>321</v>
      </c>
      <c r="C8" s="190" t="s">
        <v>1104</v>
      </c>
      <c r="D8" s="190" t="s">
        <v>1088</v>
      </c>
      <c r="E8" s="190" t="s">
        <v>1088</v>
      </c>
      <c r="F8" s="191">
        <v>27012020</v>
      </c>
      <c r="G8" s="190" t="s">
        <v>1089</v>
      </c>
      <c r="H8" s="190">
        <v>71</v>
      </c>
      <c r="I8" s="190" t="s">
        <v>951</v>
      </c>
      <c r="J8" s="190">
        <v>12426</v>
      </c>
      <c r="K8" s="190" t="s">
        <v>1090</v>
      </c>
      <c r="L8" s="190" t="s">
        <v>1091</v>
      </c>
    </row>
    <row r="9" spans="1:12" ht="15">
      <c r="A9" s="190" t="s">
        <v>1105</v>
      </c>
      <c r="B9" s="190" t="s">
        <v>678</v>
      </c>
      <c r="C9" s="190" t="s">
        <v>1106</v>
      </c>
      <c r="D9" s="190" t="s">
        <v>1088</v>
      </c>
      <c r="E9" s="190" t="s">
        <v>1088</v>
      </c>
      <c r="F9" s="191">
        <v>1062002</v>
      </c>
      <c r="G9" s="190" t="s">
        <v>1089</v>
      </c>
      <c r="H9" s="190">
        <v>72</v>
      </c>
      <c r="I9" s="190" t="s">
        <v>1107</v>
      </c>
      <c r="J9" s="190">
        <v>2834</v>
      </c>
      <c r="K9" s="190" t="s">
        <v>1090</v>
      </c>
      <c r="L9" s="190" t="s">
        <v>1091</v>
      </c>
    </row>
    <row r="10" spans="1:12" ht="15">
      <c r="A10" s="190" t="s">
        <v>1108</v>
      </c>
      <c r="B10" s="190" t="s">
        <v>750</v>
      </c>
      <c r="C10" s="190" t="s">
        <v>1094</v>
      </c>
      <c r="D10" s="190" t="s">
        <v>1088</v>
      </c>
      <c r="E10" s="190" t="s">
        <v>1088</v>
      </c>
      <c r="F10" s="191">
        <v>6012020</v>
      </c>
      <c r="G10" s="190" t="s">
        <v>1089</v>
      </c>
      <c r="H10" s="190">
        <v>71</v>
      </c>
      <c r="I10" s="190" t="s">
        <v>968</v>
      </c>
      <c r="J10" s="190">
        <v>12425</v>
      </c>
      <c r="K10" s="190" t="s">
        <v>1090</v>
      </c>
      <c r="L10" s="190" t="s">
        <v>1091</v>
      </c>
    </row>
    <row r="11" spans="1:12" ht="15">
      <c r="A11" s="190" t="s">
        <v>1109</v>
      </c>
      <c r="B11" s="190" t="s">
        <v>1110</v>
      </c>
      <c r="C11" s="190" t="s">
        <v>1095</v>
      </c>
      <c r="D11" s="190" t="s">
        <v>1088</v>
      </c>
      <c r="E11" s="190" t="s">
        <v>1088</v>
      </c>
      <c r="F11" s="191">
        <v>1022024</v>
      </c>
      <c r="G11" s="190" t="s">
        <v>1089</v>
      </c>
      <c r="H11" s="190">
        <v>71</v>
      </c>
      <c r="I11" s="190" t="s">
        <v>959</v>
      </c>
      <c r="J11" s="190">
        <v>18350</v>
      </c>
      <c r="K11" s="190" t="s">
        <v>1090</v>
      </c>
      <c r="L11" s="190" t="s">
        <v>1091</v>
      </c>
    </row>
    <row r="12" spans="1:12" ht="15">
      <c r="A12" s="190" t="s">
        <v>758</v>
      </c>
      <c r="B12" s="190" t="s">
        <v>759</v>
      </c>
      <c r="C12" s="190" t="s">
        <v>1094</v>
      </c>
      <c r="D12" s="190" t="s">
        <v>1088</v>
      </c>
      <c r="E12" s="190" t="s">
        <v>1088</v>
      </c>
      <c r="F12" s="191">
        <v>15012024</v>
      </c>
      <c r="G12" s="190" t="s">
        <v>1089</v>
      </c>
      <c r="H12" s="190">
        <v>71</v>
      </c>
      <c r="I12" s="190" t="s">
        <v>968</v>
      </c>
      <c r="J12" s="190">
        <v>18301</v>
      </c>
      <c r="K12" s="190" t="s">
        <v>1090</v>
      </c>
      <c r="L12" s="190" t="s">
        <v>1091</v>
      </c>
    </row>
    <row r="13" spans="1:12" ht="15">
      <c r="A13" s="190" t="s">
        <v>1111</v>
      </c>
      <c r="B13" s="190" t="s">
        <v>1112</v>
      </c>
      <c r="C13" s="190" t="s">
        <v>1092</v>
      </c>
      <c r="D13" s="190" t="s">
        <v>1088</v>
      </c>
      <c r="E13" s="190" t="s">
        <v>1088</v>
      </c>
      <c r="F13" s="191">
        <v>10032025</v>
      </c>
      <c r="G13" s="190" t="s">
        <v>1089</v>
      </c>
      <c r="H13" s="190">
        <v>71</v>
      </c>
      <c r="I13" s="190" t="s">
        <v>490</v>
      </c>
      <c r="J13" s="190">
        <v>20317</v>
      </c>
      <c r="K13" s="190" t="s">
        <v>1090</v>
      </c>
      <c r="L13" s="190" t="s">
        <v>1091</v>
      </c>
    </row>
    <row r="14" spans="1:12" ht="15">
      <c r="A14" s="190" t="s">
        <v>1113</v>
      </c>
      <c r="B14" s="190" t="s">
        <v>316</v>
      </c>
      <c r="C14" s="190" t="s">
        <v>1104</v>
      </c>
      <c r="D14" s="190" t="s">
        <v>1088</v>
      </c>
      <c r="E14" s="190" t="s">
        <v>1088</v>
      </c>
      <c r="F14" s="191">
        <v>17082015</v>
      </c>
      <c r="G14" s="190" t="s">
        <v>1089</v>
      </c>
      <c r="H14" s="190">
        <v>71</v>
      </c>
      <c r="I14" s="190" t="s">
        <v>951</v>
      </c>
      <c r="J14" s="190">
        <v>6672</v>
      </c>
      <c r="K14" s="190" t="s">
        <v>1090</v>
      </c>
      <c r="L14" s="190" t="s">
        <v>1091</v>
      </c>
    </row>
    <row r="15" spans="1:12" ht="15">
      <c r="A15" s="190" t="s">
        <v>1114</v>
      </c>
      <c r="B15" s="190" t="s">
        <v>1115</v>
      </c>
      <c r="C15" s="190" t="s">
        <v>1087</v>
      </c>
      <c r="D15" s="190" t="s">
        <v>1096</v>
      </c>
      <c r="E15" s="190" t="s">
        <v>1088</v>
      </c>
      <c r="F15" s="191">
        <v>1022020</v>
      </c>
      <c r="G15" s="190" t="s">
        <v>1089</v>
      </c>
      <c r="H15" s="190">
        <v>72</v>
      </c>
      <c r="I15" s="190" t="s">
        <v>941</v>
      </c>
      <c r="J15" s="190">
        <v>12477</v>
      </c>
      <c r="K15" s="190" t="s">
        <v>1090</v>
      </c>
      <c r="L15" s="190" t="s">
        <v>1091</v>
      </c>
    </row>
    <row r="16" spans="1:12" ht="15">
      <c r="A16" s="190" t="s">
        <v>1116</v>
      </c>
      <c r="B16" s="190" t="s">
        <v>408</v>
      </c>
      <c r="C16" s="190" t="s">
        <v>1117</v>
      </c>
      <c r="D16" s="190" t="s">
        <v>1088</v>
      </c>
      <c r="E16" s="190" t="s">
        <v>1088</v>
      </c>
      <c r="F16" s="191">
        <v>10072024</v>
      </c>
      <c r="G16" s="190" t="s">
        <v>1089</v>
      </c>
      <c r="H16" s="190">
        <v>71</v>
      </c>
      <c r="I16" s="190" t="s">
        <v>956</v>
      </c>
      <c r="J16" s="190">
        <v>19362</v>
      </c>
      <c r="K16" s="190" t="s">
        <v>1090</v>
      </c>
      <c r="L16" s="190" t="s">
        <v>1091</v>
      </c>
    </row>
    <row r="17" spans="1:12" ht="15">
      <c r="A17" s="190" t="s">
        <v>1118</v>
      </c>
      <c r="B17" s="190" t="s">
        <v>469</v>
      </c>
      <c r="C17" s="190" t="s">
        <v>1095</v>
      </c>
      <c r="D17" s="190" t="s">
        <v>1088</v>
      </c>
      <c r="E17" s="190" t="s">
        <v>1088</v>
      </c>
      <c r="F17" s="191">
        <v>24082020</v>
      </c>
      <c r="G17" s="190" t="s">
        <v>1089</v>
      </c>
      <c r="H17" s="190">
        <v>71</v>
      </c>
      <c r="I17" s="190" t="s">
        <v>959</v>
      </c>
      <c r="J17" s="190">
        <v>13196</v>
      </c>
      <c r="K17" s="190" t="s">
        <v>1090</v>
      </c>
      <c r="L17" s="190" t="s">
        <v>1091</v>
      </c>
    </row>
    <row r="18" spans="1:12" ht="15">
      <c r="A18" s="190" t="s">
        <v>1119</v>
      </c>
      <c r="B18" s="190" t="s">
        <v>159</v>
      </c>
      <c r="C18" s="190" t="s">
        <v>1104</v>
      </c>
      <c r="D18" s="190" t="s">
        <v>1096</v>
      </c>
      <c r="E18" s="190" t="s">
        <v>1088</v>
      </c>
      <c r="F18" s="191">
        <v>1012021</v>
      </c>
      <c r="G18" s="190" t="s">
        <v>1089</v>
      </c>
      <c r="H18" s="190">
        <v>71</v>
      </c>
      <c r="I18" s="190" t="s">
        <v>951</v>
      </c>
      <c r="J18" s="190">
        <v>13767</v>
      </c>
      <c r="K18" s="190" t="s">
        <v>1090</v>
      </c>
      <c r="L18" s="190" t="s">
        <v>1091</v>
      </c>
    </row>
    <row r="19" spans="1:12" ht="15">
      <c r="A19" s="190" t="s">
        <v>412</v>
      </c>
      <c r="B19" s="190" t="s">
        <v>1120</v>
      </c>
      <c r="C19" s="190" t="s">
        <v>1117</v>
      </c>
      <c r="D19" s="190" t="s">
        <v>1088</v>
      </c>
      <c r="E19" s="190" t="s">
        <v>1088</v>
      </c>
      <c r="F19" s="191">
        <v>9062025</v>
      </c>
      <c r="G19" s="190" t="s">
        <v>1089</v>
      </c>
      <c r="H19" s="190">
        <v>71</v>
      </c>
      <c r="I19" s="190" t="s">
        <v>956</v>
      </c>
      <c r="J19" s="190">
        <v>20743</v>
      </c>
      <c r="K19" s="190" t="s">
        <v>1090</v>
      </c>
      <c r="L19" s="190" t="s">
        <v>1091</v>
      </c>
    </row>
    <row r="20" spans="1:12" ht="15">
      <c r="A20" s="190" t="s">
        <v>1121</v>
      </c>
      <c r="B20" s="190" t="s">
        <v>1122</v>
      </c>
      <c r="C20" s="190" t="s">
        <v>1102</v>
      </c>
      <c r="D20" s="190" t="s">
        <v>1088</v>
      </c>
      <c r="E20" s="190" t="s">
        <v>1088</v>
      </c>
      <c r="F20" s="191">
        <v>9092024</v>
      </c>
      <c r="G20" s="190" t="s">
        <v>1089</v>
      </c>
      <c r="H20" s="190">
        <v>71</v>
      </c>
      <c r="I20" s="190" t="s">
        <v>949</v>
      </c>
      <c r="J20" s="190">
        <v>19764</v>
      </c>
      <c r="K20" s="190" t="s">
        <v>1090</v>
      </c>
      <c r="L20" s="190" t="s">
        <v>1091</v>
      </c>
    </row>
    <row r="21" spans="1:12" ht="15">
      <c r="A21" s="190" t="s">
        <v>1123</v>
      </c>
      <c r="B21" s="190" t="s">
        <v>1124</v>
      </c>
      <c r="C21" s="190" t="s">
        <v>1106</v>
      </c>
      <c r="D21" s="190" t="s">
        <v>1088</v>
      </c>
      <c r="E21" s="190" t="s">
        <v>1088</v>
      </c>
      <c r="F21" s="191">
        <v>16122024</v>
      </c>
      <c r="G21" s="190" t="s">
        <v>1089</v>
      </c>
      <c r="H21" s="190">
        <v>71</v>
      </c>
      <c r="I21" s="190" t="s">
        <v>1107</v>
      </c>
      <c r="J21" s="190">
        <v>20072</v>
      </c>
      <c r="K21" s="190" t="s">
        <v>1090</v>
      </c>
      <c r="L21" s="190" t="s">
        <v>1091</v>
      </c>
    </row>
    <row r="22" spans="1:12" ht="15">
      <c r="A22" s="190" t="s">
        <v>1125</v>
      </c>
      <c r="B22" s="190" t="s">
        <v>661</v>
      </c>
      <c r="C22" s="190" t="s">
        <v>1099</v>
      </c>
      <c r="D22" s="190" t="s">
        <v>1088</v>
      </c>
      <c r="E22" s="190" t="s">
        <v>1088</v>
      </c>
      <c r="F22" s="191">
        <v>21022024</v>
      </c>
      <c r="G22" s="190" t="s">
        <v>1089</v>
      </c>
      <c r="H22" s="190">
        <v>71</v>
      </c>
      <c r="I22" s="190" t="s">
        <v>113</v>
      </c>
      <c r="J22" s="190">
        <v>18450</v>
      </c>
      <c r="K22" s="190" t="s">
        <v>1090</v>
      </c>
      <c r="L22" s="190" t="s">
        <v>1091</v>
      </c>
    </row>
    <row r="23" spans="1:12" ht="15">
      <c r="A23" s="190" t="s">
        <v>1126</v>
      </c>
      <c r="B23" s="190" t="s">
        <v>1127</v>
      </c>
      <c r="C23" s="190" t="s">
        <v>1087</v>
      </c>
      <c r="D23" s="190" t="s">
        <v>1088</v>
      </c>
      <c r="E23" s="190" t="s">
        <v>1088</v>
      </c>
      <c r="F23" s="191">
        <v>6062023</v>
      </c>
      <c r="G23" s="190" t="s">
        <v>1089</v>
      </c>
      <c r="H23" s="190">
        <v>72</v>
      </c>
      <c r="I23" s="190" t="s">
        <v>941</v>
      </c>
      <c r="J23" s="190">
        <v>17589</v>
      </c>
      <c r="K23" s="190" t="s">
        <v>1090</v>
      </c>
      <c r="L23" s="190" t="s">
        <v>1091</v>
      </c>
    </row>
    <row r="24" spans="1:12" ht="15">
      <c r="A24" s="190" t="s">
        <v>1128</v>
      </c>
      <c r="B24" s="190" t="s">
        <v>1129</v>
      </c>
      <c r="C24" s="190" t="s">
        <v>1102</v>
      </c>
      <c r="D24" s="190" t="s">
        <v>1088</v>
      </c>
      <c r="E24" s="190" t="s">
        <v>1088</v>
      </c>
      <c r="F24" s="191">
        <v>17062025</v>
      </c>
      <c r="G24" s="190" t="s">
        <v>1089</v>
      </c>
      <c r="H24" s="190">
        <v>71</v>
      </c>
      <c r="I24" s="190" t="s">
        <v>949</v>
      </c>
      <c r="J24" s="190">
        <v>20807</v>
      </c>
      <c r="K24" s="190" t="s">
        <v>1090</v>
      </c>
      <c r="L24" s="190" t="s">
        <v>1091</v>
      </c>
    </row>
    <row r="25" spans="1:12" ht="15">
      <c r="A25" s="190" t="s">
        <v>1130</v>
      </c>
      <c r="B25" s="190" t="s">
        <v>1131</v>
      </c>
      <c r="C25" s="190" t="s">
        <v>1106</v>
      </c>
      <c r="D25" s="190" t="s">
        <v>1088</v>
      </c>
      <c r="E25" s="190" t="s">
        <v>1088</v>
      </c>
      <c r="F25" s="191">
        <v>1072025</v>
      </c>
      <c r="G25" s="190" t="s">
        <v>1089</v>
      </c>
      <c r="H25" s="190">
        <v>71</v>
      </c>
      <c r="I25" s="190" t="s">
        <v>1107</v>
      </c>
      <c r="J25" s="190">
        <v>20779</v>
      </c>
      <c r="K25" s="190" t="s">
        <v>1090</v>
      </c>
      <c r="L25" s="190" t="s">
        <v>1091</v>
      </c>
    </row>
    <row r="26" spans="1:12" ht="15">
      <c r="A26" s="190" t="s">
        <v>1132</v>
      </c>
      <c r="B26" s="190" t="s">
        <v>479</v>
      </c>
      <c r="C26" s="190" t="s">
        <v>1092</v>
      </c>
      <c r="D26" s="190" t="s">
        <v>1088</v>
      </c>
      <c r="E26" s="190" t="s">
        <v>1088</v>
      </c>
      <c r="F26" s="191">
        <v>4072022</v>
      </c>
      <c r="G26" s="190" t="s">
        <v>1089</v>
      </c>
      <c r="H26" s="190">
        <v>71</v>
      </c>
      <c r="I26" s="190" t="s">
        <v>490</v>
      </c>
      <c r="J26" s="190">
        <v>15899</v>
      </c>
      <c r="K26" s="190" t="s">
        <v>1090</v>
      </c>
      <c r="L26" s="190" t="s">
        <v>1091</v>
      </c>
    </row>
    <row r="27" spans="1:12" ht="15">
      <c r="A27" s="190" t="s">
        <v>1133</v>
      </c>
      <c r="B27" s="190" t="s">
        <v>122</v>
      </c>
      <c r="C27" s="190" t="s">
        <v>1087</v>
      </c>
      <c r="D27" s="190" t="s">
        <v>1088</v>
      </c>
      <c r="E27" s="190" t="s">
        <v>1088</v>
      </c>
      <c r="F27" s="191">
        <v>1072020</v>
      </c>
      <c r="G27" s="190" t="s">
        <v>1089</v>
      </c>
      <c r="H27" s="190">
        <v>72</v>
      </c>
      <c r="I27" s="190" t="s">
        <v>941</v>
      </c>
      <c r="J27" s="190">
        <v>12839</v>
      </c>
      <c r="K27" s="190" t="s">
        <v>1090</v>
      </c>
      <c r="L27" s="190" t="s">
        <v>1091</v>
      </c>
    </row>
    <row r="28" spans="1:12" ht="15">
      <c r="A28" s="190" t="s">
        <v>809</v>
      </c>
      <c r="B28" s="190" t="s">
        <v>464</v>
      </c>
      <c r="C28" s="190" t="s">
        <v>1092</v>
      </c>
      <c r="D28" s="190" t="s">
        <v>1088</v>
      </c>
      <c r="E28" s="190" t="s">
        <v>1088</v>
      </c>
      <c r="F28" s="191">
        <v>25032024</v>
      </c>
      <c r="G28" s="190" t="s">
        <v>1089</v>
      </c>
      <c r="H28" s="190">
        <v>72</v>
      </c>
      <c r="I28" s="190" t="s">
        <v>490</v>
      </c>
      <c r="J28" s="190">
        <v>18805</v>
      </c>
      <c r="K28" s="190" t="s">
        <v>1090</v>
      </c>
      <c r="L28" s="190" t="s">
        <v>1091</v>
      </c>
    </row>
    <row r="29" spans="1:12" ht="15">
      <c r="A29" s="190" t="s">
        <v>110</v>
      </c>
      <c r="B29" s="190" t="s">
        <v>1134</v>
      </c>
      <c r="C29" s="190" t="s">
        <v>1135</v>
      </c>
      <c r="D29" s="190" t="s">
        <v>1088</v>
      </c>
      <c r="E29" s="190" t="s">
        <v>1088</v>
      </c>
      <c r="F29" s="191">
        <v>1072022</v>
      </c>
      <c r="G29" s="190" t="s">
        <v>1089</v>
      </c>
      <c r="H29" s="190">
        <v>72</v>
      </c>
      <c r="I29" s="190" t="s">
        <v>946</v>
      </c>
      <c r="J29" s="190">
        <v>15900</v>
      </c>
      <c r="K29" s="190" t="s">
        <v>1090</v>
      </c>
      <c r="L29" s="190" t="s">
        <v>1091</v>
      </c>
    </row>
    <row r="30" spans="1:12" ht="15">
      <c r="A30" s="190" t="s">
        <v>1136</v>
      </c>
      <c r="B30" s="190" t="s">
        <v>451</v>
      </c>
      <c r="C30" s="190" t="s">
        <v>1092</v>
      </c>
      <c r="D30" s="190" t="s">
        <v>1088</v>
      </c>
      <c r="E30" s="190" t="s">
        <v>1088</v>
      </c>
      <c r="F30" s="191">
        <v>9102023</v>
      </c>
      <c r="G30" s="190" t="s">
        <v>1089</v>
      </c>
      <c r="H30" s="190">
        <v>72</v>
      </c>
      <c r="I30" s="190" t="s">
        <v>490</v>
      </c>
      <c r="J30" s="190">
        <v>18116</v>
      </c>
      <c r="K30" s="190" t="s">
        <v>1090</v>
      </c>
      <c r="L30" s="190" t="s">
        <v>1091</v>
      </c>
    </row>
    <row r="31" spans="1:12" ht="15">
      <c r="A31" s="190" t="s">
        <v>969</v>
      </c>
      <c r="B31" s="190" t="s">
        <v>626</v>
      </c>
      <c r="C31" s="190" t="s">
        <v>1094</v>
      </c>
      <c r="D31" s="190" t="s">
        <v>1096</v>
      </c>
      <c r="E31" s="190" t="s">
        <v>1088</v>
      </c>
      <c r="F31" s="191">
        <v>2052007</v>
      </c>
      <c r="G31" s="190" t="s">
        <v>1089</v>
      </c>
      <c r="H31" s="190">
        <v>71</v>
      </c>
      <c r="I31" s="190" t="s">
        <v>968</v>
      </c>
      <c r="J31" s="190">
        <v>2784</v>
      </c>
      <c r="K31" s="190" t="s">
        <v>1090</v>
      </c>
      <c r="L31" s="190" t="s">
        <v>1091</v>
      </c>
    </row>
    <row r="32" spans="1:12" ht="15">
      <c r="A32" s="190" t="s">
        <v>697</v>
      </c>
      <c r="B32" s="190" t="s">
        <v>1137</v>
      </c>
      <c r="C32" s="190" t="s">
        <v>1106</v>
      </c>
      <c r="D32" s="190" t="s">
        <v>1096</v>
      </c>
      <c r="E32" s="190" t="s">
        <v>1088</v>
      </c>
      <c r="F32" s="191">
        <v>1072021</v>
      </c>
      <c r="G32" s="190" t="s">
        <v>1089</v>
      </c>
      <c r="H32" s="190">
        <v>72</v>
      </c>
      <c r="I32" s="190" t="s">
        <v>1107</v>
      </c>
      <c r="J32" s="190">
        <v>14482</v>
      </c>
      <c r="K32" s="190" t="s">
        <v>1090</v>
      </c>
      <c r="L32" s="190" t="s">
        <v>1091</v>
      </c>
    </row>
    <row r="33" spans="1:12" ht="15">
      <c r="A33" s="190" t="s">
        <v>1138</v>
      </c>
      <c r="B33" s="190" t="s">
        <v>1139</v>
      </c>
      <c r="C33" s="190" t="s">
        <v>1087</v>
      </c>
      <c r="D33" s="190" t="s">
        <v>1088</v>
      </c>
      <c r="E33" s="190" t="s">
        <v>1088</v>
      </c>
      <c r="F33" s="191">
        <v>2122024</v>
      </c>
      <c r="G33" s="190" t="s">
        <v>1089</v>
      </c>
      <c r="H33" s="190">
        <v>72</v>
      </c>
      <c r="I33" s="190" t="s">
        <v>941</v>
      </c>
      <c r="J33" s="190">
        <v>19968</v>
      </c>
      <c r="K33" s="190" t="s">
        <v>1090</v>
      </c>
      <c r="L33" s="190" t="s">
        <v>1091</v>
      </c>
    </row>
    <row r="34" spans="1:12" ht="15">
      <c r="A34" s="190" t="s">
        <v>1140</v>
      </c>
      <c r="B34" s="190" t="s">
        <v>1141</v>
      </c>
      <c r="C34" s="190" t="s">
        <v>1142</v>
      </c>
      <c r="D34" s="190" t="s">
        <v>1088</v>
      </c>
      <c r="E34" s="190" t="s">
        <v>1088</v>
      </c>
      <c r="F34" s="191">
        <v>4062025</v>
      </c>
      <c r="G34" s="190" t="s">
        <v>1089</v>
      </c>
      <c r="H34" s="190">
        <v>71</v>
      </c>
      <c r="I34" s="190" t="s">
        <v>1143</v>
      </c>
      <c r="J34" s="190">
        <v>20702</v>
      </c>
      <c r="K34" s="190" t="s">
        <v>1090</v>
      </c>
      <c r="L34" s="190" t="s">
        <v>1091</v>
      </c>
    </row>
    <row r="35" spans="1:12" ht="15">
      <c r="A35" s="190" t="s">
        <v>1144</v>
      </c>
      <c r="B35" s="190" t="s">
        <v>666</v>
      </c>
      <c r="C35" s="190" t="s">
        <v>1099</v>
      </c>
      <c r="D35" s="190" t="s">
        <v>1088</v>
      </c>
      <c r="E35" s="190" t="s">
        <v>1088</v>
      </c>
      <c r="F35" s="191">
        <v>10072024</v>
      </c>
      <c r="G35" s="190" t="s">
        <v>1089</v>
      </c>
      <c r="H35" s="190">
        <v>72</v>
      </c>
      <c r="I35" s="190" t="s">
        <v>113</v>
      </c>
      <c r="J35" s="190">
        <v>19356</v>
      </c>
      <c r="K35" s="190" t="s">
        <v>1090</v>
      </c>
      <c r="L35" s="190" t="s">
        <v>1091</v>
      </c>
    </row>
    <row r="36" spans="1:12" ht="15">
      <c r="A36" s="190" t="s">
        <v>1145</v>
      </c>
      <c r="B36" s="190" t="s">
        <v>1146</v>
      </c>
      <c r="C36" s="190" t="s">
        <v>1142</v>
      </c>
      <c r="D36" s="190" t="s">
        <v>1088</v>
      </c>
      <c r="E36" s="190" t="s">
        <v>1088</v>
      </c>
      <c r="F36" s="191">
        <v>22042024</v>
      </c>
      <c r="G36" s="190" t="s">
        <v>1089</v>
      </c>
      <c r="H36" s="190">
        <v>72</v>
      </c>
      <c r="I36" s="190" t="s">
        <v>1143</v>
      </c>
      <c r="J36" s="190">
        <v>18832</v>
      </c>
      <c r="K36" s="190" t="s">
        <v>1090</v>
      </c>
      <c r="L36" s="190" t="s">
        <v>1091</v>
      </c>
    </row>
    <row r="37" spans="1:12" ht="15">
      <c r="A37" s="190" t="s">
        <v>1147</v>
      </c>
      <c r="B37" s="190" t="s">
        <v>211</v>
      </c>
      <c r="C37" s="190" t="s">
        <v>1102</v>
      </c>
      <c r="D37" s="190" t="s">
        <v>1088</v>
      </c>
      <c r="E37" s="190" t="s">
        <v>1088</v>
      </c>
      <c r="F37" s="191">
        <v>19062023</v>
      </c>
      <c r="G37" s="190" t="s">
        <v>1089</v>
      </c>
      <c r="H37" s="190">
        <v>71</v>
      </c>
      <c r="I37" s="190" t="s">
        <v>949</v>
      </c>
      <c r="J37" s="190">
        <v>17584</v>
      </c>
      <c r="K37" s="190" t="s">
        <v>1090</v>
      </c>
      <c r="L37" s="190" t="s">
        <v>1091</v>
      </c>
    </row>
    <row r="38" spans="1:12" ht="15">
      <c r="A38" s="190" t="s">
        <v>1148</v>
      </c>
      <c r="B38" s="190" t="s">
        <v>556</v>
      </c>
      <c r="C38" s="190" t="s">
        <v>1149</v>
      </c>
      <c r="D38" s="190" t="s">
        <v>1088</v>
      </c>
      <c r="E38" s="190" t="s">
        <v>1088</v>
      </c>
      <c r="F38" s="191">
        <v>4112024</v>
      </c>
      <c r="G38" s="190" t="s">
        <v>1089</v>
      </c>
      <c r="H38" s="190">
        <v>71</v>
      </c>
      <c r="I38" s="190" t="s">
        <v>960</v>
      </c>
      <c r="J38" s="190">
        <v>19879</v>
      </c>
      <c r="K38" s="190" t="s">
        <v>1090</v>
      </c>
      <c r="L38" s="190" t="s">
        <v>1091</v>
      </c>
    </row>
    <row r="39" spans="1:12" ht="15">
      <c r="A39" s="190" t="s">
        <v>963</v>
      </c>
      <c r="B39" s="190" t="s">
        <v>1150</v>
      </c>
      <c r="C39" s="190" t="s">
        <v>1142</v>
      </c>
      <c r="D39" s="190" t="s">
        <v>1096</v>
      </c>
      <c r="E39" s="190" t="s">
        <v>1088</v>
      </c>
      <c r="F39" s="191">
        <v>2052023</v>
      </c>
      <c r="G39" s="190" t="s">
        <v>1089</v>
      </c>
      <c r="H39" s="190">
        <v>72</v>
      </c>
      <c r="I39" s="190" t="s">
        <v>1143</v>
      </c>
      <c r="J39" s="190">
        <v>17359</v>
      </c>
      <c r="K39" s="190" t="s">
        <v>1090</v>
      </c>
      <c r="L39" s="190" t="s">
        <v>1091</v>
      </c>
    </row>
    <row r="40" spans="1:12" ht="15">
      <c r="A40" s="190" t="s">
        <v>1151</v>
      </c>
      <c r="B40" s="190" t="s">
        <v>402</v>
      </c>
      <c r="C40" s="190" t="s">
        <v>1117</v>
      </c>
      <c r="D40" s="190" t="s">
        <v>1096</v>
      </c>
      <c r="E40" s="190" t="s">
        <v>1088</v>
      </c>
      <c r="F40" s="191">
        <v>4112019</v>
      </c>
      <c r="G40" s="190" t="s">
        <v>1089</v>
      </c>
      <c r="H40" s="190">
        <v>71</v>
      </c>
      <c r="I40" s="190" t="s">
        <v>956</v>
      </c>
      <c r="J40" s="190">
        <v>12278</v>
      </c>
      <c r="K40" s="190" t="s">
        <v>1090</v>
      </c>
      <c r="L40" s="190" t="s">
        <v>1091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C6EA-FF9F-4404-A08E-D91C44E187DD}">
  <sheetPr codeName="Sheet7"/>
  <dimension ref="A1:J51"/>
  <sheetViews>
    <sheetView zoomScaleNormal="100" workbookViewId="0">
      <selection activeCell="B2" sqref="B2:I18"/>
    </sheetView>
  </sheetViews>
  <sheetFormatPr defaultRowHeight="14.45" customHeight="1"/>
  <cols>
    <col min="1" max="1" width="6.140625" customWidth="1"/>
    <col min="2" max="2" width="58.85546875" customWidth="1"/>
    <col min="3" max="3" width="17.85546875" customWidth="1"/>
    <col min="4" max="4" width="10.7109375" style="46" customWidth="1"/>
    <col min="5" max="5" width="19" customWidth="1"/>
    <col min="6" max="6" width="16.5703125" customWidth="1"/>
    <col min="7" max="7" width="20.7109375" style="57" customWidth="1"/>
    <col min="8" max="8" width="21" style="332" customWidth="1"/>
    <col min="9" max="9" width="20.5703125" customWidth="1"/>
    <col min="10" max="10" width="10.5703125" customWidth="1"/>
  </cols>
  <sheetData>
    <row r="1" spans="1:10" ht="14.45" customHeight="1">
      <c r="A1" s="41" t="s">
        <v>1152</v>
      </c>
      <c r="B1" s="44" t="s">
        <v>1153</v>
      </c>
      <c r="C1" s="44" t="s">
        <v>6</v>
      </c>
      <c r="D1" s="45" t="s">
        <v>1154</v>
      </c>
      <c r="E1" s="43" t="s">
        <v>1155</v>
      </c>
      <c r="F1" s="41" t="s">
        <v>1156</v>
      </c>
      <c r="G1" s="54" t="s">
        <v>1157</v>
      </c>
      <c r="H1" s="318" t="s">
        <v>1158</v>
      </c>
      <c r="I1" s="41" t="s">
        <v>999</v>
      </c>
      <c r="J1" s="4" t="s">
        <v>1328</v>
      </c>
    </row>
    <row r="2" spans="1:10" ht="13.5" thickBot="1">
      <c r="A2" s="4">
        <v>40</v>
      </c>
      <c r="B2" s="5" t="s">
        <v>1344</v>
      </c>
      <c r="C2" s="5" t="s">
        <v>1342</v>
      </c>
      <c r="D2" s="280"/>
      <c r="E2" s="4"/>
      <c r="F2" s="4"/>
      <c r="G2" s="221">
        <v>45936</v>
      </c>
      <c r="H2" s="274">
        <v>45936</v>
      </c>
      <c r="I2" s="4" t="s">
        <v>724</v>
      </c>
      <c r="J2" s="4"/>
    </row>
    <row r="3" spans="1:10" ht="13.5" thickBot="1">
      <c r="A3" s="4">
        <v>41</v>
      </c>
      <c r="B3" s="5" t="s">
        <v>1343</v>
      </c>
      <c r="C3" s="5" t="s">
        <v>1342</v>
      </c>
      <c r="D3" s="280"/>
      <c r="E3" s="4"/>
      <c r="F3" s="4"/>
      <c r="G3" s="221">
        <v>45936</v>
      </c>
      <c r="H3" s="274">
        <v>45936</v>
      </c>
      <c r="I3" s="4" t="s">
        <v>724</v>
      </c>
      <c r="J3" s="4"/>
    </row>
    <row r="4" spans="1:10" ht="15.75" thickBot="1">
      <c r="A4" s="5">
        <v>25</v>
      </c>
      <c r="B4" s="5" t="s">
        <v>1191</v>
      </c>
      <c r="C4" s="5" t="s">
        <v>1192</v>
      </c>
      <c r="D4" s="269">
        <v>12872427</v>
      </c>
      <c r="E4" s="5" t="s">
        <v>1208</v>
      </c>
      <c r="F4" s="5" t="s">
        <v>1209</v>
      </c>
      <c r="G4" s="225">
        <v>45758</v>
      </c>
      <c r="H4" s="319">
        <v>45772</v>
      </c>
      <c r="I4" s="5" t="s">
        <v>1210</v>
      </c>
      <c r="J4" s="4"/>
    </row>
    <row r="5" spans="1:10" ht="15.75" thickBot="1">
      <c r="A5" s="4">
        <v>18</v>
      </c>
      <c r="B5" s="5" t="s">
        <v>1191</v>
      </c>
      <c r="C5" s="5" t="s">
        <v>1192</v>
      </c>
      <c r="D5" s="269">
        <v>12872427</v>
      </c>
      <c r="E5" s="5" t="s">
        <v>1206</v>
      </c>
      <c r="F5" s="5" t="s">
        <v>1207</v>
      </c>
      <c r="G5" s="225">
        <v>45758</v>
      </c>
      <c r="H5" s="320">
        <v>45772</v>
      </c>
      <c r="I5" s="4" t="s">
        <v>1352</v>
      </c>
      <c r="J5" s="4"/>
    </row>
    <row r="6" spans="1:10" ht="13.5" thickBot="1">
      <c r="A6" s="4">
        <v>34</v>
      </c>
      <c r="B6" s="5" t="s">
        <v>1191</v>
      </c>
      <c r="C6" s="5" t="s">
        <v>1192</v>
      </c>
      <c r="D6" s="280"/>
      <c r="E6" s="4" t="s">
        <v>1325</v>
      </c>
      <c r="F6" s="5" t="s">
        <v>1326</v>
      </c>
      <c r="G6" s="221">
        <v>45915</v>
      </c>
      <c r="H6" s="321"/>
      <c r="I6" s="4" t="s">
        <v>1327</v>
      </c>
      <c r="J6" s="4" t="s">
        <v>1329</v>
      </c>
    </row>
    <row r="7" spans="1:10" ht="15">
      <c r="A7" s="4">
        <v>22</v>
      </c>
      <c r="B7" s="5" t="s">
        <v>1191</v>
      </c>
      <c r="C7" s="5" t="s">
        <v>1192</v>
      </c>
      <c r="D7" s="224">
        <v>12872427</v>
      </c>
      <c r="E7" s="5" t="s">
        <v>1211</v>
      </c>
      <c r="F7" s="5" t="s">
        <v>1212</v>
      </c>
      <c r="G7" s="225">
        <v>45758</v>
      </c>
      <c r="H7" s="320">
        <v>45772</v>
      </c>
      <c r="I7" s="4" t="s">
        <v>1388</v>
      </c>
      <c r="J7" s="4"/>
    </row>
    <row r="8" spans="1:10" ht="15">
      <c r="A8" s="4">
        <v>26</v>
      </c>
      <c r="B8" s="5" t="s">
        <v>1191</v>
      </c>
      <c r="C8" s="5" t="s">
        <v>1192</v>
      </c>
      <c r="D8" s="224">
        <v>12872427</v>
      </c>
      <c r="E8" s="5" t="s">
        <v>1197</v>
      </c>
      <c r="F8" s="5" t="s">
        <v>1198</v>
      </c>
      <c r="G8" s="225">
        <v>45758</v>
      </c>
      <c r="H8" s="320">
        <v>45772</v>
      </c>
      <c r="I8" s="4" t="s">
        <v>1389</v>
      </c>
      <c r="J8" s="4"/>
    </row>
    <row r="9" spans="1:10" ht="12.75">
      <c r="A9" s="4">
        <v>32</v>
      </c>
      <c r="B9" s="5" t="s">
        <v>1191</v>
      </c>
      <c r="C9" s="5" t="s">
        <v>1192</v>
      </c>
      <c r="D9" s="281"/>
      <c r="E9" s="264" t="s">
        <v>1322</v>
      </c>
      <c r="F9" s="4" t="s">
        <v>1351</v>
      </c>
      <c r="G9" s="221">
        <v>45901</v>
      </c>
      <c r="H9" s="322"/>
      <c r="I9" s="4" t="s">
        <v>1330</v>
      </c>
      <c r="J9" s="4"/>
    </row>
    <row r="10" spans="1:10" ht="12.75">
      <c r="A10" s="4">
        <v>33</v>
      </c>
      <c r="B10" s="5" t="s">
        <v>1191</v>
      </c>
      <c r="C10" s="5" t="s">
        <v>1192</v>
      </c>
      <c r="D10" s="215"/>
      <c r="E10" s="5" t="s">
        <v>1323</v>
      </c>
      <c r="F10" s="4" t="s">
        <v>1179</v>
      </c>
      <c r="G10" s="221">
        <v>45901</v>
      </c>
      <c r="H10" s="321"/>
      <c r="I10" s="4" t="s">
        <v>1324</v>
      </c>
      <c r="J10" s="4"/>
    </row>
    <row r="11" spans="1:10" ht="15">
      <c r="A11" s="4">
        <v>20</v>
      </c>
      <c r="B11" s="5" t="s">
        <v>1191</v>
      </c>
      <c r="C11" s="5" t="s">
        <v>1192</v>
      </c>
      <c r="D11" s="224">
        <v>12872427</v>
      </c>
      <c r="E11" s="5" t="s">
        <v>1199</v>
      </c>
      <c r="F11" s="5" t="s">
        <v>1200</v>
      </c>
      <c r="G11" s="225">
        <v>45758</v>
      </c>
      <c r="H11" s="320">
        <v>45772</v>
      </c>
      <c r="I11" s="5" t="s">
        <v>804</v>
      </c>
      <c r="J11" s="5" t="s">
        <v>1348</v>
      </c>
    </row>
    <row r="12" spans="1:10" ht="15">
      <c r="A12" s="42">
        <v>24</v>
      </c>
      <c r="B12" s="279" t="s">
        <v>1191</v>
      </c>
      <c r="C12" s="279" t="s">
        <v>1192</v>
      </c>
      <c r="D12" s="224">
        <v>12872427</v>
      </c>
      <c r="E12" s="5" t="s">
        <v>1193</v>
      </c>
      <c r="F12" s="5" t="s">
        <v>1194</v>
      </c>
      <c r="G12" s="225">
        <v>45758</v>
      </c>
      <c r="H12" s="320">
        <v>45772</v>
      </c>
      <c r="I12" s="4" t="s">
        <v>706</v>
      </c>
      <c r="J12" s="4"/>
    </row>
    <row r="13" spans="1:10" ht="15">
      <c r="A13" s="4">
        <v>27</v>
      </c>
      <c r="B13" s="5" t="s">
        <v>1191</v>
      </c>
      <c r="C13" s="5" t="s">
        <v>1192</v>
      </c>
      <c r="D13" s="224">
        <v>12872427</v>
      </c>
      <c r="E13" s="5" t="s">
        <v>1201</v>
      </c>
      <c r="F13" s="5" t="s">
        <v>1202</v>
      </c>
      <c r="G13" s="225">
        <v>45758</v>
      </c>
      <c r="H13" s="320">
        <v>45772</v>
      </c>
      <c r="I13" s="4" t="s">
        <v>1203</v>
      </c>
      <c r="J13" s="4"/>
    </row>
    <row r="14" spans="1:10" ht="12.75">
      <c r="A14" s="4">
        <v>40</v>
      </c>
      <c r="B14" s="5" t="s">
        <v>1191</v>
      </c>
      <c r="C14" s="5" t="s">
        <v>1192</v>
      </c>
      <c r="D14" s="215"/>
      <c r="E14" s="4" t="s">
        <v>1354</v>
      </c>
      <c r="F14" s="4" t="s">
        <v>1355</v>
      </c>
      <c r="G14" s="216"/>
      <c r="H14" s="321"/>
      <c r="I14" s="4" t="s">
        <v>1359</v>
      </c>
      <c r="J14" s="4"/>
    </row>
    <row r="15" spans="1:10" ht="16.5">
      <c r="A15" s="42">
        <v>19</v>
      </c>
      <c r="B15" s="5" t="s">
        <v>1191</v>
      </c>
      <c r="C15" s="5" t="s">
        <v>1192</v>
      </c>
      <c r="D15" s="224">
        <v>12872427</v>
      </c>
      <c r="E15" s="5" t="s">
        <v>1195</v>
      </c>
      <c r="F15" s="5" t="s">
        <v>1196</v>
      </c>
      <c r="G15" s="225">
        <v>45758</v>
      </c>
      <c r="H15" s="320">
        <v>45772</v>
      </c>
      <c r="I15" s="276" t="s">
        <v>1349</v>
      </c>
      <c r="J15" s="5" t="s">
        <v>1348</v>
      </c>
    </row>
    <row r="16" spans="1:10" ht="15">
      <c r="A16" s="48">
        <v>23</v>
      </c>
      <c r="B16" s="47" t="s">
        <v>1191</v>
      </c>
      <c r="C16" s="47" t="s">
        <v>1192</v>
      </c>
      <c r="D16" s="227">
        <v>12872427</v>
      </c>
      <c r="E16" s="47" t="s">
        <v>1213</v>
      </c>
      <c r="F16" s="47" t="s">
        <v>1214</v>
      </c>
      <c r="G16" s="228">
        <v>45758</v>
      </c>
      <c r="H16" s="229">
        <v>45772</v>
      </c>
      <c r="I16" s="48" t="s">
        <v>549</v>
      </c>
      <c r="J16" s="48"/>
    </row>
    <row r="17" spans="1:10" ht="12.75">
      <c r="A17" s="277">
        <v>35</v>
      </c>
      <c r="B17" s="47" t="s">
        <v>1191</v>
      </c>
      <c r="C17" s="47" t="s">
        <v>1192</v>
      </c>
      <c r="D17" s="103"/>
      <c r="E17" s="48" t="s">
        <v>1331</v>
      </c>
      <c r="F17" s="48" t="s">
        <v>1336</v>
      </c>
      <c r="G17" s="55"/>
      <c r="H17" s="323"/>
      <c r="I17" s="48" t="s">
        <v>549</v>
      </c>
      <c r="J17" s="48"/>
    </row>
    <row r="18" spans="1:10" ht="12.75">
      <c r="A18" s="48">
        <v>36</v>
      </c>
      <c r="B18" s="278" t="s">
        <v>1191</v>
      </c>
      <c r="C18" s="278" t="s">
        <v>1192</v>
      </c>
      <c r="D18" s="103"/>
      <c r="E18" s="48" t="s">
        <v>1332</v>
      </c>
      <c r="F18" s="48" t="s">
        <v>1337</v>
      </c>
      <c r="G18" s="223"/>
      <c r="H18" s="323"/>
      <c r="I18" s="48" t="s">
        <v>549</v>
      </c>
      <c r="J18" s="48"/>
    </row>
    <row r="19" spans="1:10" ht="14.45" customHeight="1">
      <c r="A19" s="277">
        <v>37</v>
      </c>
      <c r="B19" s="47" t="s">
        <v>1191</v>
      </c>
      <c r="C19" s="47" t="s">
        <v>1192</v>
      </c>
      <c r="D19" s="103"/>
      <c r="E19" s="48" t="s">
        <v>1333</v>
      </c>
      <c r="F19" s="47" t="s">
        <v>1338</v>
      </c>
      <c r="G19" s="223"/>
      <c r="H19" s="323"/>
      <c r="I19" s="48" t="s">
        <v>549</v>
      </c>
      <c r="J19" s="48"/>
    </row>
    <row r="20" spans="1:10" ht="14.45" customHeight="1">
      <c r="A20" s="48">
        <v>38</v>
      </c>
      <c r="B20" s="47" t="s">
        <v>1191</v>
      </c>
      <c r="C20" s="47" t="s">
        <v>1192</v>
      </c>
      <c r="D20" s="103"/>
      <c r="E20" s="48" t="s">
        <v>1334</v>
      </c>
      <c r="F20" s="48" t="s">
        <v>1339</v>
      </c>
      <c r="G20" s="223"/>
      <c r="H20" s="323"/>
      <c r="I20" s="120" t="s">
        <v>549</v>
      </c>
      <c r="J20" s="48"/>
    </row>
    <row r="21" spans="1:10" s="187" customFormat="1" ht="14.45" customHeight="1">
      <c r="A21" s="277">
        <v>41</v>
      </c>
      <c r="B21" s="47" t="s">
        <v>1191</v>
      </c>
      <c r="C21" s="47" t="s">
        <v>1192</v>
      </c>
      <c r="D21" s="103"/>
      <c r="E21" s="48" t="s">
        <v>1357</v>
      </c>
      <c r="F21" s="48" t="s">
        <v>1356</v>
      </c>
      <c r="G21" s="223"/>
      <c r="H21" s="323"/>
      <c r="I21" s="48" t="s">
        <v>549</v>
      </c>
      <c r="J21" s="48"/>
    </row>
    <row r="22" spans="1:10" ht="14.45" customHeight="1">
      <c r="A22" s="48">
        <v>42</v>
      </c>
      <c r="B22" s="47" t="s">
        <v>1361</v>
      </c>
      <c r="C22" s="47" t="s">
        <v>1192</v>
      </c>
      <c r="D22" s="103"/>
      <c r="E22" s="48" t="s">
        <v>1360</v>
      </c>
      <c r="F22" s="47" t="s">
        <v>1382</v>
      </c>
      <c r="G22" s="223"/>
      <c r="H22" s="323"/>
      <c r="I22" s="48" t="s">
        <v>1362</v>
      </c>
      <c r="J22" s="48"/>
    </row>
    <row r="23" spans="1:10" ht="14.45" customHeight="1">
      <c r="A23" s="42">
        <v>21</v>
      </c>
      <c r="B23" s="5" t="s">
        <v>1191</v>
      </c>
      <c r="C23" s="5" t="s">
        <v>1192</v>
      </c>
      <c r="D23" s="224">
        <v>12872427</v>
      </c>
      <c r="E23" s="5" t="s">
        <v>1204</v>
      </c>
      <c r="F23" s="5" t="s">
        <v>1205</v>
      </c>
      <c r="G23" s="225">
        <v>45758</v>
      </c>
      <c r="H23" s="320">
        <v>45772</v>
      </c>
      <c r="I23" s="5" t="s">
        <v>1350</v>
      </c>
      <c r="J23" s="4" t="s">
        <v>1348</v>
      </c>
    </row>
    <row r="24" spans="1:10" ht="14.45" customHeight="1">
      <c r="A24" s="4">
        <v>43</v>
      </c>
      <c r="B24" s="5" t="s">
        <v>1191</v>
      </c>
      <c r="C24" s="5" t="s">
        <v>1192</v>
      </c>
      <c r="D24" s="215"/>
      <c r="E24" s="4" t="s">
        <v>1373</v>
      </c>
      <c r="F24" s="4" t="s">
        <v>1374</v>
      </c>
      <c r="G24" s="216"/>
      <c r="H24" s="321"/>
      <c r="I24" s="4" t="s">
        <v>1375</v>
      </c>
      <c r="J24" s="4"/>
    </row>
    <row r="25" spans="1:10" ht="14.45" customHeight="1">
      <c r="A25" s="42">
        <v>39</v>
      </c>
      <c r="B25" s="5" t="s">
        <v>1191</v>
      </c>
      <c r="C25" s="5" t="s">
        <v>1192</v>
      </c>
      <c r="D25" s="215"/>
      <c r="E25" s="4" t="s">
        <v>1340</v>
      </c>
      <c r="F25" s="4" t="s">
        <v>1341</v>
      </c>
      <c r="G25" s="216"/>
      <c r="H25" s="321"/>
      <c r="I25" s="4" t="s">
        <v>1353</v>
      </c>
      <c r="J25" s="4"/>
    </row>
    <row r="26" spans="1:10" ht="14.45" customHeight="1">
      <c r="A26" s="4">
        <v>1</v>
      </c>
      <c r="B26" s="48" t="s">
        <v>1162</v>
      </c>
      <c r="C26" s="47" t="s">
        <v>1163</v>
      </c>
      <c r="D26" s="270">
        <v>12817922</v>
      </c>
      <c r="E26" s="48" t="s">
        <v>1164</v>
      </c>
      <c r="F26" s="48" t="s">
        <v>163</v>
      </c>
      <c r="G26" s="55">
        <v>45706</v>
      </c>
      <c r="H26" s="229">
        <v>45681</v>
      </c>
      <c r="I26" s="48" t="s">
        <v>1165</v>
      </c>
      <c r="J26" s="4"/>
    </row>
    <row r="27" spans="1:10" ht="14.45" customHeight="1">
      <c r="A27" s="42">
        <v>3</v>
      </c>
      <c r="B27" s="48" t="s">
        <v>1162</v>
      </c>
      <c r="C27" s="48" t="s">
        <v>1163</v>
      </c>
      <c r="D27" s="270">
        <v>12817922</v>
      </c>
      <c r="E27" s="48" t="s">
        <v>1166</v>
      </c>
      <c r="F27" s="48" t="s">
        <v>163</v>
      </c>
      <c r="G27" s="56">
        <v>45706</v>
      </c>
      <c r="H27" s="229">
        <v>45681</v>
      </c>
      <c r="I27" s="48" t="s">
        <v>1347</v>
      </c>
      <c r="J27" s="4"/>
    </row>
    <row r="28" spans="1:10" ht="14.45" customHeight="1">
      <c r="A28" s="4">
        <v>7</v>
      </c>
      <c r="B28" s="48" t="s">
        <v>1162</v>
      </c>
      <c r="C28" s="48" t="s">
        <v>1163</v>
      </c>
      <c r="D28" s="51"/>
      <c r="E28" s="48" t="s">
        <v>1186</v>
      </c>
      <c r="F28" s="48" t="s">
        <v>163</v>
      </c>
      <c r="G28" s="56">
        <v>45706</v>
      </c>
      <c r="H28" s="323" t="s">
        <v>1184</v>
      </c>
      <c r="I28" s="48" t="s">
        <v>1187</v>
      </c>
      <c r="J28" s="4"/>
    </row>
    <row r="29" spans="1:10" ht="15">
      <c r="A29" s="4">
        <v>2</v>
      </c>
      <c r="B29" s="48" t="s">
        <v>1162</v>
      </c>
      <c r="C29" s="48" t="s">
        <v>1163</v>
      </c>
      <c r="D29" s="270">
        <v>12817922</v>
      </c>
      <c r="E29" s="48" t="s">
        <v>1167</v>
      </c>
      <c r="F29" s="48" t="s">
        <v>163</v>
      </c>
      <c r="G29" s="56">
        <v>45706</v>
      </c>
      <c r="H29" s="229">
        <v>45681</v>
      </c>
      <c r="I29" s="48" t="s">
        <v>1168</v>
      </c>
      <c r="J29" s="4"/>
    </row>
    <row r="30" spans="1:10" ht="12.75">
      <c r="A30" s="4">
        <v>16</v>
      </c>
      <c r="B30" s="48" t="s">
        <v>1162</v>
      </c>
      <c r="C30" s="48" t="s">
        <v>1163</v>
      </c>
      <c r="D30" s="49">
        <v>12865803</v>
      </c>
      <c r="E30" s="48" t="s">
        <v>1172</v>
      </c>
      <c r="F30" s="48"/>
      <c r="G30" s="55">
        <v>45770</v>
      </c>
      <c r="H30" s="323"/>
      <c r="I30" s="48" t="s">
        <v>1345</v>
      </c>
      <c r="J30" s="4"/>
    </row>
    <row r="31" spans="1:10" ht="15">
      <c r="A31" s="4">
        <v>9</v>
      </c>
      <c r="B31" s="48" t="s">
        <v>1162</v>
      </c>
      <c r="C31" s="48" t="s">
        <v>1163</v>
      </c>
      <c r="D31" s="51"/>
      <c r="E31" s="48"/>
      <c r="F31" s="48" t="s">
        <v>163</v>
      </c>
      <c r="G31" s="273">
        <v>45706</v>
      </c>
      <c r="H31" s="324">
        <v>45723</v>
      </c>
      <c r="I31" s="48" t="s">
        <v>1346</v>
      </c>
      <c r="J31" s="4"/>
    </row>
    <row r="32" spans="1:10" ht="12.75">
      <c r="A32" s="4">
        <v>30</v>
      </c>
      <c r="B32" s="47" t="s">
        <v>1162</v>
      </c>
      <c r="C32" s="47" t="s">
        <v>1163</v>
      </c>
      <c r="D32" s="103" t="s">
        <v>1177</v>
      </c>
      <c r="E32" s="48"/>
      <c r="F32" s="48"/>
      <c r="G32" s="55">
        <v>45821</v>
      </c>
      <c r="H32" s="325"/>
      <c r="I32" s="48" t="s">
        <v>1335</v>
      </c>
      <c r="J32" s="4"/>
    </row>
    <row r="33" spans="1:10" ht="14.45" customHeight="1">
      <c r="A33" s="4">
        <v>15</v>
      </c>
      <c r="B33" s="48" t="s">
        <v>1162</v>
      </c>
      <c r="C33" s="48" t="s">
        <v>1163</v>
      </c>
      <c r="D33" s="49">
        <v>12865803</v>
      </c>
      <c r="E33" s="48" t="s">
        <v>1173</v>
      </c>
      <c r="F33" s="48"/>
      <c r="G33" s="55">
        <v>45770</v>
      </c>
      <c r="H33" s="325"/>
      <c r="I33" s="48" t="s">
        <v>1307</v>
      </c>
      <c r="J33" s="9"/>
    </row>
    <row r="34" spans="1:10" ht="14.45" customHeight="1">
      <c r="A34" s="4">
        <v>6</v>
      </c>
      <c r="B34" s="48" t="s">
        <v>1162</v>
      </c>
      <c r="C34" s="48" t="s">
        <v>1163</v>
      </c>
      <c r="D34" s="51"/>
      <c r="E34" s="48" t="s">
        <v>1183</v>
      </c>
      <c r="F34" s="48" t="s">
        <v>163</v>
      </c>
      <c r="G34" s="56">
        <v>45706</v>
      </c>
      <c r="H34" s="325" t="s">
        <v>1184</v>
      </c>
      <c r="I34" s="219" t="s">
        <v>1185</v>
      </c>
      <c r="J34" s="42"/>
    </row>
    <row r="35" spans="1:10" ht="14.45" customHeight="1">
      <c r="A35" s="4">
        <v>14</v>
      </c>
      <c r="B35" s="48" t="s">
        <v>1162</v>
      </c>
      <c r="C35" s="48" t="s">
        <v>1163</v>
      </c>
      <c r="D35" s="49">
        <v>12865803</v>
      </c>
      <c r="E35" s="48" t="s">
        <v>1174</v>
      </c>
      <c r="F35" s="48"/>
      <c r="G35" s="226">
        <v>45770</v>
      </c>
      <c r="H35" s="323"/>
      <c r="I35" s="48" t="s">
        <v>1131</v>
      </c>
      <c r="J35" s="4"/>
    </row>
    <row r="36" spans="1:10" ht="14.45" customHeight="1">
      <c r="A36" s="4">
        <v>29</v>
      </c>
      <c r="B36" s="47" t="s">
        <v>1162</v>
      </c>
      <c r="C36" s="47" t="s">
        <v>1163</v>
      </c>
      <c r="D36" s="103" t="s">
        <v>1177</v>
      </c>
      <c r="E36" s="266" t="s">
        <v>1180</v>
      </c>
      <c r="F36" s="48"/>
      <c r="G36" s="55">
        <v>45821</v>
      </c>
      <c r="H36" s="326"/>
      <c r="I36" s="266" t="s">
        <v>1181</v>
      </c>
      <c r="J36" s="4"/>
    </row>
    <row r="37" spans="1:10" ht="14.45" customHeight="1">
      <c r="A37" s="4">
        <v>28</v>
      </c>
      <c r="B37" s="47" t="s">
        <v>1162</v>
      </c>
      <c r="C37" s="47" t="s">
        <v>1163</v>
      </c>
      <c r="D37" s="103" t="s">
        <v>1177</v>
      </c>
      <c r="E37" s="47" t="s">
        <v>1178</v>
      </c>
      <c r="F37" s="222"/>
      <c r="G37" s="272">
        <v>45821</v>
      </c>
      <c r="H37" s="327"/>
      <c r="I37" s="266" t="s">
        <v>1386</v>
      </c>
      <c r="J37" s="4"/>
    </row>
    <row r="38" spans="1:10" ht="14.45" customHeight="1">
      <c r="A38" s="4">
        <v>31</v>
      </c>
      <c r="B38" s="47" t="s">
        <v>1162</v>
      </c>
      <c r="C38" s="47" t="s">
        <v>1163</v>
      </c>
      <c r="D38" s="103" t="s">
        <v>1177</v>
      </c>
      <c r="E38" s="48"/>
      <c r="F38" s="48"/>
      <c r="G38" s="55">
        <v>45821</v>
      </c>
      <c r="H38" s="325"/>
      <c r="I38" s="219" t="s">
        <v>1182</v>
      </c>
      <c r="J38" s="4"/>
    </row>
    <row r="39" spans="1:10" ht="14.45" customHeight="1">
      <c r="A39" s="4">
        <v>13</v>
      </c>
      <c r="B39" s="48" t="s">
        <v>1162</v>
      </c>
      <c r="C39" s="48" t="s">
        <v>1163</v>
      </c>
      <c r="D39" s="49">
        <v>12865803</v>
      </c>
      <c r="E39" s="48" t="s">
        <v>1175</v>
      </c>
      <c r="F39" s="48"/>
      <c r="G39" s="55">
        <v>45770</v>
      </c>
      <c r="H39" s="325"/>
      <c r="I39" s="48" t="s">
        <v>1384</v>
      </c>
      <c r="J39" s="4"/>
    </row>
    <row r="40" spans="1:10" ht="14.45" customHeight="1">
      <c r="A40" s="4">
        <v>5</v>
      </c>
      <c r="B40" s="52" t="s">
        <v>1162</v>
      </c>
      <c r="C40" s="48" t="s">
        <v>1163</v>
      </c>
      <c r="D40" s="270">
        <v>12817922</v>
      </c>
      <c r="E40" s="48"/>
      <c r="F40" s="48" t="s">
        <v>163</v>
      </c>
      <c r="G40" s="56">
        <v>45706</v>
      </c>
      <c r="H40" s="325" t="s">
        <v>1170</v>
      </c>
      <c r="I40" s="48" t="s">
        <v>1171</v>
      </c>
      <c r="J40" s="4"/>
    </row>
    <row r="41" spans="1:10" ht="15">
      <c r="A41" s="4">
        <v>4</v>
      </c>
      <c r="B41" s="48" t="s">
        <v>1162</v>
      </c>
      <c r="C41" s="47" t="s">
        <v>1163</v>
      </c>
      <c r="D41" s="270">
        <v>12817922</v>
      </c>
      <c r="E41" s="48" t="s">
        <v>1169</v>
      </c>
      <c r="F41" s="48" t="s">
        <v>163</v>
      </c>
      <c r="G41" s="56">
        <v>45706</v>
      </c>
      <c r="H41" s="328">
        <v>45681</v>
      </c>
      <c r="I41" s="47" t="s">
        <v>683</v>
      </c>
      <c r="J41" s="4"/>
    </row>
    <row r="42" spans="1:10" ht="15">
      <c r="A42" s="4">
        <v>8</v>
      </c>
      <c r="B42" s="48" t="s">
        <v>1162</v>
      </c>
      <c r="C42" s="48" t="s">
        <v>1163</v>
      </c>
      <c r="D42" s="51"/>
      <c r="E42" s="48"/>
      <c r="F42" s="48" t="s">
        <v>163</v>
      </c>
      <c r="G42" s="56">
        <v>45706</v>
      </c>
      <c r="H42" s="325" t="s">
        <v>1189</v>
      </c>
      <c r="I42" s="48" t="s">
        <v>1190</v>
      </c>
      <c r="J42" s="4"/>
    </row>
    <row r="43" spans="1:10" ht="14.45" customHeight="1">
      <c r="A43" s="277">
        <v>10</v>
      </c>
      <c r="B43" s="50" t="s">
        <v>1162</v>
      </c>
      <c r="C43" s="230" t="s">
        <v>1163</v>
      </c>
      <c r="D43" s="51"/>
      <c r="E43" s="271" t="s">
        <v>1188</v>
      </c>
      <c r="F43" s="50" t="s">
        <v>163</v>
      </c>
      <c r="G43" s="273">
        <v>45706</v>
      </c>
      <c r="H43" s="329">
        <v>45748</v>
      </c>
      <c r="I43" s="282" t="s">
        <v>1385</v>
      </c>
      <c r="J43" s="50"/>
    </row>
    <row r="44" spans="1:10" ht="14.45" customHeight="1">
      <c r="A44" s="48">
        <v>12</v>
      </c>
      <c r="B44" s="48" t="s">
        <v>1162</v>
      </c>
      <c r="C44" s="219" t="s">
        <v>1163</v>
      </c>
      <c r="D44" s="49">
        <v>12865803</v>
      </c>
      <c r="E44" s="263" t="s">
        <v>1176</v>
      </c>
      <c r="F44" s="48"/>
      <c r="G44" s="55">
        <v>45770</v>
      </c>
      <c r="H44" s="325"/>
      <c r="I44" s="48" t="s">
        <v>1387</v>
      </c>
      <c r="J44" s="48"/>
    </row>
    <row r="45" spans="1:10" ht="14.45" customHeight="1">
      <c r="A45">
        <v>17</v>
      </c>
      <c r="B45" s="268" t="s">
        <v>1159</v>
      </c>
      <c r="C45" s="268" t="s">
        <v>1160</v>
      </c>
      <c r="D45" s="265">
        <v>12801631</v>
      </c>
      <c r="E45" s="100"/>
      <c r="F45" s="100" t="s">
        <v>163</v>
      </c>
      <c r="G45" s="102">
        <v>45694</v>
      </c>
      <c r="H45" s="330"/>
      <c r="I45" s="100" t="s">
        <v>109</v>
      </c>
      <c r="J45" s="42"/>
    </row>
    <row r="46" spans="1:10" ht="14.45" customHeight="1">
      <c r="A46">
        <v>11</v>
      </c>
      <c r="B46" s="268" t="s">
        <v>1161</v>
      </c>
      <c r="C46" s="268" t="s">
        <v>1160</v>
      </c>
      <c r="D46" s="218">
        <v>12865803</v>
      </c>
      <c r="E46" s="99">
        <v>50819</v>
      </c>
      <c r="F46" s="100"/>
      <c r="G46" s="101">
        <v>45770</v>
      </c>
      <c r="H46" s="275">
        <v>45770</v>
      </c>
      <c r="I46" s="100" t="s">
        <v>1358</v>
      </c>
      <c r="J46" s="42"/>
    </row>
    <row r="47" spans="1:10" ht="14.45" customHeight="1">
      <c r="A47" s="4"/>
      <c r="B47" s="4"/>
      <c r="C47" s="220"/>
      <c r="D47" s="215"/>
      <c r="E47" s="267"/>
      <c r="F47" s="4"/>
      <c r="G47" s="216"/>
      <c r="H47" s="331"/>
      <c r="I47" s="4"/>
      <c r="J47" s="4"/>
    </row>
    <row r="48" spans="1:10" ht="14.45" customHeight="1">
      <c r="A48" s="4"/>
      <c r="B48" s="4"/>
      <c r="C48" s="4"/>
      <c r="D48" s="215"/>
      <c r="E48" s="4"/>
      <c r="F48" s="4"/>
      <c r="G48" s="216"/>
      <c r="H48" s="331"/>
      <c r="I48" s="4"/>
      <c r="J48" s="4"/>
    </row>
    <row r="50" spans="2:3" ht="14.45" customHeight="1">
      <c r="B50" s="187" t="s">
        <v>1392</v>
      </c>
      <c r="C50">
        <f>COUNTIF(C1:C48,"Headset")</f>
        <v>22</v>
      </c>
    </row>
    <row r="51" spans="2:3" ht="14.45" customHeight="1">
      <c r="B51" s="187" t="s">
        <v>1163</v>
      </c>
      <c r="C51">
        <f>COUNTIF(C2:C49,"Mouser+Keyborad")</f>
        <v>19</v>
      </c>
    </row>
  </sheetData>
  <autoFilter ref="A1:J48" xr:uid="{455EC6EA-FF9F-4404-A08E-D91C44E187DD}">
    <sortState xmlns:xlrd2="http://schemas.microsoft.com/office/spreadsheetml/2017/richdata2" ref="A2:J48">
      <sortCondition ref="C1:C48"/>
    </sortState>
  </autoFilter>
  <phoneticPr fontId="10" type="noConversion"/>
  <pageMargins left="1.085" right="0.7" top="0.75" bottom="0.75" header="0.3" footer="0.3"/>
  <pageSetup scale="92" orientation="portrait" verticalDpi="203" r:id="rId1"/>
  <customProperties>
    <customPr name="_pios_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A324-7C38-462A-9CA9-04EA95F82985}">
  <sheetPr codeName="Sheet8"/>
  <dimension ref="A1:I73"/>
  <sheetViews>
    <sheetView topLeftCell="A29" zoomScale="113" zoomScaleNormal="115" workbookViewId="0">
      <selection activeCell="E71" sqref="A71:E71"/>
    </sheetView>
  </sheetViews>
  <sheetFormatPr defaultRowHeight="12.75"/>
  <cols>
    <col min="1" max="1" width="20.85546875" customWidth="1"/>
    <col min="2" max="2" width="25.42578125" customWidth="1"/>
    <col min="3" max="3" width="33" customWidth="1"/>
    <col min="4" max="4" width="14.85546875" customWidth="1"/>
    <col min="5" max="5" width="25.140625" customWidth="1"/>
    <col min="7" max="7" width="27.85546875" customWidth="1"/>
  </cols>
  <sheetData>
    <row r="1" spans="1:4" ht="18">
      <c r="A1" s="22" t="s">
        <v>1215</v>
      </c>
    </row>
    <row r="3" spans="1:4" ht="13.5" thickBot="1">
      <c r="A3" s="93" t="s">
        <v>1216</v>
      </c>
      <c r="B3" s="94" t="s">
        <v>0</v>
      </c>
      <c r="C3" s="93" t="s">
        <v>0</v>
      </c>
      <c r="D3" s="93" t="s">
        <v>1217</v>
      </c>
    </row>
    <row r="4" spans="1:4">
      <c r="A4" s="95" t="s">
        <v>1218</v>
      </c>
      <c r="B4" t="s">
        <v>1219</v>
      </c>
      <c r="C4" s="32" t="s">
        <v>1220</v>
      </c>
      <c r="D4" s="33">
        <v>100</v>
      </c>
    </row>
    <row r="5" spans="1:4">
      <c r="B5" s="29" t="s">
        <v>941</v>
      </c>
      <c r="C5" s="32">
        <v>602104021</v>
      </c>
      <c r="D5" s="33">
        <v>150</v>
      </c>
    </row>
    <row r="6" spans="1:4">
      <c r="B6" s="29" t="s">
        <v>951</v>
      </c>
      <c r="C6" s="32">
        <v>602106001</v>
      </c>
      <c r="D6" s="33">
        <v>200</v>
      </c>
    </row>
    <row r="7" spans="1:4">
      <c r="B7" s="29" t="s">
        <v>955</v>
      </c>
      <c r="C7" s="32" t="s">
        <v>1221</v>
      </c>
      <c r="D7" s="33">
        <v>250</v>
      </c>
    </row>
    <row r="8" spans="1:4">
      <c r="B8" s="29" t="s">
        <v>949</v>
      </c>
      <c r="C8" s="32">
        <v>602105001</v>
      </c>
      <c r="D8" s="33">
        <v>300</v>
      </c>
    </row>
    <row r="9" spans="1:4">
      <c r="B9" s="29" t="s">
        <v>956</v>
      </c>
      <c r="C9" s="32">
        <v>602403001</v>
      </c>
      <c r="D9" s="33">
        <v>350</v>
      </c>
    </row>
    <row r="10" spans="1:4">
      <c r="B10" s="29" t="s">
        <v>490</v>
      </c>
      <c r="C10" s="32">
        <v>602403002</v>
      </c>
      <c r="D10" s="33">
        <v>400</v>
      </c>
    </row>
    <row r="11" spans="1:4">
      <c r="B11" s="29" t="s">
        <v>490</v>
      </c>
      <c r="C11" s="32">
        <v>602403002</v>
      </c>
      <c r="D11" s="33">
        <v>450</v>
      </c>
    </row>
    <row r="12" spans="1:4">
      <c r="B12" s="29" t="s">
        <v>962</v>
      </c>
      <c r="C12" s="32">
        <v>602408002</v>
      </c>
      <c r="D12" s="33">
        <v>500</v>
      </c>
    </row>
    <row r="13" spans="1:4">
      <c r="B13" s="29" t="s">
        <v>968</v>
      </c>
      <c r="C13" s="32">
        <v>602409004</v>
      </c>
      <c r="D13" s="33">
        <v>550</v>
      </c>
    </row>
    <row r="14" spans="1:4">
      <c r="B14" s="29" t="s">
        <v>113</v>
      </c>
      <c r="C14" s="29">
        <v>602408004</v>
      </c>
      <c r="D14" s="33">
        <v>600</v>
      </c>
    </row>
    <row r="15" spans="1:4">
      <c r="B15" s="29" t="s">
        <v>960</v>
      </c>
      <c r="C15" s="32">
        <v>602408001</v>
      </c>
      <c r="D15" s="33">
        <v>650</v>
      </c>
    </row>
    <row r="16" spans="1:4">
      <c r="B16" t="s">
        <v>1107</v>
      </c>
      <c r="C16" s="97">
        <v>602409003</v>
      </c>
      <c r="D16" s="98">
        <v>700</v>
      </c>
    </row>
    <row r="18" spans="1:4">
      <c r="A18" s="104" t="s">
        <v>1222</v>
      </c>
      <c r="B18" s="104" t="s">
        <v>1223</v>
      </c>
      <c r="C18" s="104" t="s">
        <v>1224</v>
      </c>
      <c r="D18" s="104"/>
    </row>
    <row r="19" spans="1:4">
      <c r="A19" t="s">
        <v>1225</v>
      </c>
      <c r="B19" t="s">
        <v>1107</v>
      </c>
      <c r="C19" s="197" t="s">
        <v>1226</v>
      </c>
      <c r="D19">
        <v>107</v>
      </c>
    </row>
    <row r="20" spans="1:4">
      <c r="A20" t="s">
        <v>724</v>
      </c>
      <c r="B20" t="s">
        <v>1107</v>
      </c>
      <c r="C20" t="s">
        <v>1227</v>
      </c>
    </row>
    <row r="21" spans="1:4">
      <c r="A21" t="s">
        <v>1228</v>
      </c>
      <c r="B21" t="s">
        <v>1107</v>
      </c>
      <c r="C21" s="96" t="s">
        <v>1229</v>
      </c>
      <c r="D21">
        <v>700</v>
      </c>
    </row>
    <row r="22" spans="1:4">
      <c r="A22" t="s">
        <v>1230</v>
      </c>
      <c r="B22" t="s">
        <v>1107</v>
      </c>
      <c r="C22" s="96" t="s">
        <v>1231</v>
      </c>
      <c r="D22" s="105">
        <v>701</v>
      </c>
    </row>
    <row r="23" spans="1:4">
      <c r="A23" t="s">
        <v>1232</v>
      </c>
      <c r="B23" t="s">
        <v>1143</v>
      </c>
      <c r="C23" t="s">
        <v>1233</v>
      </c>
      <c r="D23">
        <v>502</v>
      </c>
    </row>
    <row r="24" spans="1:4">
      <c r="A24" t="s">
        <v>1234</v>
      </c>
      <c r="B24" t="s">
        <v>1143</v>
      </c>
      <c r="C24" t="s">
        <v>1235</v>
      </c>
      <c r="D24">
        <v>500</v>
      </c>
    </row>
    <row r="25" spans="1:4">
      <c r="A25" t="s">
        <v>1236</v>
      </c>
      <c r="B25" t="s">
        <v>1143</v>
      </c>
      <c r="C25" s="96" t="s">
        <v>1237</v>
      </c>
      <c r="D25">
        <v>503</v>
      </c>
    </row>
    <row r="26" spans="1:4">
      <c r="A26" t="s">
        <v>1238</v>
      </c>
      <c r="B26" t="s">
        <v>968</v>
      </c>
      <c r="C26" t="s">
        <v>1239</v>
      </c>
      <c r="D26">
        <v>550</v>
      </c>
    </row>
    <row r="27" spans="1:4">
      <c r="A27" t="s">
        <v>1240</v>
      </c>
      <c r="B27" t="s">
        <v>968</v>
      </c>
      <c r="C27" t="s">
        <v>1241</v>
      </c>
      <c r="D27">
        <v>551</v>
      </c>
    </row>
    <row r="28" spans="1:4">
      <c r="A28" t="s">
        <v>1242</v>
      </c>
      <c r="B28" t="s">
        <v>968</v>
      </c>
      <c r="C28" t="s">
        <v>1243</v>
      </c>
      <c r="D28">
        <v>552</v>
      </c>
    </row>
    <row r="29" spans="1:4">
      <c r="A29" t="s">
        <v>1244</v>
      </c>
      <c r="B29" t="s">
        <v>968</v>
      </c>
      <c r="C29" t="s">
        <v>1245</v>
      </c>
      <c r="D29">
        <v>553</v>
      </c>
    </row>
    <row r="30" spans="1:4">
      <c r="A30" t="s">
        <v>1246</v>
      </c>
      <c r="B30" t="s">
        <v>951</v>
      </c>
      <c r="C30" t="s">
        <v>1247</v>
      </c>
      <c r="D30">
        <v>201</v>
      </c>
    </row>
    <row r="31" spans="1:4">
      <c r="A31" t="s">
        <v>1248</v>
      </c>
      <c r="B31" t="s">
        <v>951</v>
      </c>
      <c r="C31" t="s">
        <v>1249</v>
      </c>
      <c r="D31">
        <v>200</v>
      </c>
    </row>
    <row r="32" spans="1:4">
      <c r="A32" t="s">
        <v>1250</v>
      </c>
      <c r="B32" t="s">
        <v>1251</v>
      </c>
      <c r="C32" t="s">
        <v>1252</v>
      </c>
      <c r="D32">
        <v>251</v>
      </c>
    </row>
    <row r="33" spans="1:9">
      <c r="A33" t="s">
        <v>393</v>
      </c>
      <c r="B33" t="s">
        <v>1251</v>
      </c>
      <c r="C33" t="s">
        <v>1253</v>
      </c>
      <c r="D33">
        <v>252</v>
      </c>
      <c r="I33">
        <v>501</v>
      </c>
    </row>
    <row r="34" spans="1:9">
      <c r="A34" t="s">
        <v>1254</v>
      </c>
      <c r="B34" t="s">
        <v>1251</v>
      </c>
      <c r="C34" t="s">
        <v>1255</v>
      </c>
    </row>
    <row r="35" spans="1:9">
      <c r="A35" t="s">
        <v>1256</v>
      </c>
      <c r="B35" t="s">
        <v>1257</v>
      </c>
      <c r="C35" t="s">
        <v>1258</v>
      </c>
      <c r="D35">
        <v>255</v>
      </c>
    </row>
    <row r="36" spans="1:9">
      <c r="A36" t="s">
        <v>289</v>
      </c>
      <c r="B36" t="s">
        <v>1257</v>
      </c>
      <c r="C36" t="s">
        <v>1259</v>
      </c>
      <c r="D36">
        <v>257</v>
      </c>
    </row>
    <row r="37" spans="1:9">
      <c r="A37" t="s">
        <v>1260</v>
      </c>
      <c r="B37" t="s">
        <v>1257</v>
      </c>
      <c r="C37" t="s">
        <v>1261</v>
      </c>
      <c r="D37">
        <v>256</v>
      </c>
    </row>
    <row r="38" spans="1:9">
      <c r="A38" t="s">
        <v>1262</v>
      </c>
      <c r="B38" t="s">
        <v>1257</v>
      </c>
      <c r="C38" t="s">
        <v>1263</v>
      </c>
      <c r="D38">
        <v>258</v>
      </c>
    </row>
    <row r="39" spans="1:9">
      <c r="A39" s="105" t="s">
        <v>1264</v>
      </c>
      <c r="B39" s="105" t="s">
        <v>1257</v>
      </c>
      <c r="C39" s="119" t="s">
        <v>1265</v>
      </c>
      <c r="D39" s="105">
        <v>259</v>
      </c>
    </row>
    <row r="40" spans="1:9">
      <c r="A40" t="s">
        <v>1266</v>
      </c>
      <c r="B40" t="s">
        <v>1267</v>
      </c>
      <c r="C40" t="s">
        <v>1268</v>
      </c>
    </row>
    <row r="41" spans="1:9">
      <c r="A41" t="s">
        <v>1269</v>
      </c>
      <c r="B41" t="s">
        <v>960</v>
      </c>
      <c r="C41" s="96" t="s">
        <v>1270</v>
      </c>
      <c r="D41">
        <v>650</v>
      </c>
    </row>
    <row r="42" spans="1:9">
      <c r="A42" t="s">
        <v>1271</v>
      </c>
      <c r="B42" t="s">
        <v>959</v>
      </c>
      <c r="C42" t="s">
        <v>1272</v>
      </c>
      <c r="D42">
        <v>451</v>
      </c>
    </row>
    <row r="43" spans="1:9">
      <c r="A43" t="s">
        <v>771</v>
      </c>
      <c r="B43" t="s">
        <v>959</v>
      </c>
      <c r="C43" t="s">
        <v>1273</v>
      </c>
      <c r="D43">
        <v>453</v>
      </c>
    </row>
    <row r="44" spans="1:9">
      <c r="A44" t="s">
        <v>1274</v>
      </c>
      <c r="B44" t="s">
        <v>959</v>
      </c>
      <c r="C44" t="s">
        <v>1275</v>
      </c>
      <c r="D44">
        <v>452</v>
      </c>
    </row>
    <row r="45" spans="1:9">
      <c r="A45" t="s">
        <v>234</v>
      </c>
      <c r="B45" t="s">
        <v>949</v>
      </c>
      <c r="C45" t="s">
        <v>1276</v>
      </c>
      <c r="D45">
        <v>301</v>
      </c>
    </row>
    <row r="46" spans="1:9">
      <c r="A46" t="s">
        <v>1277</v>
      </c>
      <c r="B46" t="s">
        <v>949</v>
      </c>
      <c r="C46" t="s">
        <v>1278</v>
      </c>
      <c r="D46">
        <v>303</v>
      </c>
    </row>
    <row r="47" spans="1:9">
      <c r="A47" t="s">
        <v>239</v>
      </c>
      <c r="B47" t="s">
        <v>949</v>
      </c>
      <c r="C47" t="s">
        <v>1279</v>
      </c>
      <c r="D47">
        <v>302</v>
      </c>
    </row>
    <row r="48" spans="1:9">
      <c r="A48" t="s">
        <v>1280</v>
      </c>
      <c r="B48" t="s">
        <v>949</v>
      </c>
      <c r="C48" t="s">
        <v>1281</v>
      </c>
      <c r="D48">
        <v>300</v>
      </c>
    </row>
    <row r="49" spans="1:4">
      <c r="A49" t="s">
        <v>1282</v>
      </c>
      <c r="B49" t="s">
        <v>956</v>
      </c>
      <c r="C49" t="s">
        <v>1283</v>
      </c>
      <c r="D49">
        <v>353</v>
      </c>
    </row>
    <row r="50" spans="1:4">
      <c r="A50" t="s">
        <v>1284</v>
      </c>
      <c r="B50" t="s">
        <v>956</v>
      </c>
      <c r="C50" t="s">
        <v>1285</v>
      </c>
      <c r="D50">
        <v>352</v>
      </c>
    </row>
    <row r="51" spans="1:4">
      <c r="A51" t="s">
        <v>1082</v>
      </c>
      <c r="B51" t="s">
        <v>956</v>
      </c>
      <c r="C51" t="s">
        <v>1286</v>
      </c>
      <c r="D51">
        <v>350</v>
      </c>
    </row>
    <row r="52" spans="1:4">
      <c r="A52" t="s">
        <v>1287</v>
      </c>
      <c r="B52" t="s">
        <v>956</v>
      </c>
      <c r="C52" t="s">
        <v>1288</v>
      </c>
      <c r="D52">
        <v>354</v>
      </c>
    </row>
    <row r="53" spans="1:4">
      <c r="A53" t="s">
        <v>1289</v>
      </c>
      <c r="B53" t="s">
        <v>113</v>
      </c>
      <c r="C53" t="s">
        <v>1290</v>
      </c>
      <c r="D53">
        <v>601</v>
      </c>
    </row>
    <row r="54" spans="1:4">
      <c r="A54" t="s">
        <v>1291</v>
      </c>
      <c r="B54" t="s">
        <v>113</v>
      </c>
      <c r="C54" t="s">
        <v>1292</v>
      </c>
      <c r="D54">
        <v>602</v>
      </c>
    </row>
    <row r="55" spans="1:4">
      <c r="A55" t="s">
        <v>683</v>
      </c>
      <c r="B55" t="s">
        <v>113</v>
      </c>
      <c r="C55" t="s">
        <v>1293</v>
      </c>
      <c r="D55">
        <v>600</v>
      </c>
    </row>
    <row r="56" spans="1:4">
      <c r="A56" t="s">
        <v>83</v>
      </c>
      <c r="B56" t="s">
        <v>937</v>
      </c>
      <c r="C56" t="s">
        <v>1294</v>
      </c>
      <c r="D56">
        <v>100</v>
      </c>
    </row>
    <row r="57" spans="1:4">
      <c r="A57" t="s">
        <v>812</v>
      </c>
      <c r="B57" t="s">
        <v>937</v>
      </c>
      <c r="C57" t="s">
        <v>1295</v>
      </c>
      <c r="D57">
        <v>103</v>
      </c>
    </row>
    <row r="58" spans="1:4">
      <c r="A58" t="s">
        <v>804</v>
      </c>
      <c r="B58" t="s">
        <v>937</v>
      </c>
      <c r="C58" t="s">
        <v>1296</v>
      </c>
      <c r="D58">
        <v>101</v>
      </c>
    </row>
    <row r="59" spans="1:4">
      <c r="A59" t="s">
        <v>1297</v>
      </c>
      <c r="B59" t="s">
        <v>937</v>
      </c>
      <c r="C59" t="s">
        <v>1298</v>
      </c>
      <c r="D59">
        <v>108</v>
      </c>
    </row>
    <row r="60" spans="1:4">
      <c r="A60" t="s">
        <v>1299</v>
      </c>
      <c r="B60" t="s">
        <v>937</v>
      </c>
      <c r="C60" t="s">
        <v>1300</v>
      </c>
      <c r="D60">
        <v>106</v>
      </c>
    </row>
    <row r="61" spans="1:4">
      <c r="A61" t="s">
        <v>1301</v>
      </c>
      <c r="B61" t="s">
        <v>937</v>
      </c>
      <c r="C61" t="s">
        <v>1302</v>
      </c>
      <c r="D61">
        <v>104</v>
      </c>
    </row>
    <row r="62" spans="1:4">
      <c r="A62" t="s">
        <v>1303</v>
      </c>
      <c r="B62" t="s">
        <v>490</v>
      </c>
      <c r="C62" t="s">
        <v>1304</v>
      </c>
      <c r="D62">
        <v>401</v>
      </c>
    </row>
    <row r="63" spans="1:4">
      <c r="A63" t="s">
        <v>1305</v>
      </c>
      <c r="B63" t="s">
        <v>490</v>
      </c>
      <c r="C63" t="s">
        <v>1306</v>
      </c>
      <c r="D63">
        <v>403</v>
      </c>
    </row>
    <row r="64" spans="1:4">
      <c r="A64" t="s">
        <v>1307</v>
      </c>
      <c r="B64" t="s">
        <v>490</v>
      </c>
      <c r="C64" t="s">
        <v>1308</v>
      </c>
      <c r="D64">
        <v>402</v>
      </c>
    </row>
    <row r="65" spans="1:4">
      <c r="A65" s="4" t="s">
        <v>1309</v>
      </c>
      <c r="B65" s="4" t="s">
        <v>941</v>
      </c>
      <c r="C65" s="208" t="s">
        <v>1310</v>
      </c>
      <c r="D65" s="4">
        <v>156</v>
      </c>
    </row>
    <row r="66" spans="1:4">
      <c r="A66" s="4" t="s">
        <v>1311</v>
      </c>
      <c r="B66" s="4" t="s">
        <v>941</v>
      </c>
      <c r="C66" s="4" t="s">
        <v>1312</v>
      </c>
      <c r="D66" s="4">
        <v>151</v>
      </c>
    </row>
    <row r="67" spans="1:4">
      <c r="A67" s="4" t="s">
        <v>1313</v>
      </c>
      <c r="B67" s="4" t="s">
        <v>941</v>
      </c>
      <c r="C67" s="208" t="s">
        <v>1314</v>
      </c>
      <c r="D67" s="4">
        <v>154</v>
      </c>
    </row>
    <row r="68" spans="1:4">
      <c r="A68" s="4" t="s">
        <v>1315</v>
      </c>
      <c r="B68" s="4" t="s">
        <v>941</v>
      </c>
      <c r="C68" s="208" t="s">
        <v>1316</v>
      </c>
      <c r="D68" s="4">
        <v>155</v>
      </c>
    </row>
    <row r="69" spans="1:4">
      <c r="A69" s="5" t="s">
        <v>1378</v>
      </c>
      <c r="B69" s="4" t="s">
        <v>941</v>
      </c>
      <c r="C69" s="4" t="s">
        <v>1317</v>
      </c>
      <c r="D69" s="4">
        <v>152</v>
      </c>
    </row>
    <row r="70" spans="1:4">
      <c r="A70" s="4" t="s">
        <v>1318</v>
      </c>
      <c r="B70" s="4" t="s">
        <v>941</v>
      </c>
      <c r="C70" s="4" t="s">
        <v>1319</v>
      </c>
      <c r="D70" s="4">
        <v>153</v>
      </c>
    </row>
    <row r="71" spans="1:4">
      <c r="A71" s="259" t="s">
        <v>1390</v>
      </c>
      <c r="B71" s="4" t="s">
        <v>941</v>
      </c>
      <c r="C71" s="260" t="s">
        <v>1379</v>
      </c>
      <c r="D71" s="4">
        <v>157</v>
      </c>
    </row>
    <row r="72" spans="1:4">
      <c r="A72" s="5" t="s">
        <v>1320</v>
      </c>
      <c r="B72" s="4" t="s">
        <v>941</v>
      </c>
      <c r="C72" s="260" t="s">
        <v>1380</v>
      </c>
      <c r="D72" s="4">
        <v>158</v>
      </c>
    </row>
    <row r="73" spans="1:4">
      <c r="A73" s="120" t="s">
        <v>1321</v>
      </c>
      <c r="B73" s="120" t="s">
        <v>941</v>
      </c>
      <c r="C73" s="261" t="s">
        <v>1381</v>
      </c>
      <c r="D73" s="120">
        <v>150</v>
      </c>
    </row>
  </sheetData>
  <autoFilter ref="A18:G72" xr:uid="{80C4A324-7C38-462A-9CA9-04EA95F82985}">
    <sortState xmlns:xlrd2="http://schemas.microsoft.com/office/spreadsheetml/2017/richdata2" ref="A19:G72">
      <sortCondition ref="B18:B72"/>
    </sortState>
  </autoFilter>
  <phoneticPr fontId="10" type="noConversion"/>
  <pageMargins left="1.085" right="0.7" top="0.75" bottom="0.75" header="0.3" footer="0.3"/>
  <pageSetup scale="92"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ADE38540ACBDB4998D18D36B2ECBC82" ma:contentTypeVersion="12" ma:contentTypeDescription="Ein neues Dokument erstellen." ma:contentTypeScope="" ma:versionID="1b78f0b187e524b22870c3ab2eee3591">
  <xsd:schema xmlns:xsd="http://www.w3.org/2001/XMLSchema" xmlns:xs="http://www.w3.org/2001/XMLSchema" xmlns:p="http://schemas.microsoft.com/office/2006/metadata/properties" xmlns:ns2="d405f711-27a4-4118-8bff-ddcc0a4d9588" xmlns:ns3="dcb2a135-8946-42c8-a1f8-57cc60c9a016" targetNamespace="http://schemas.microsoft.com/office/2006/metadata/properties" ma:root="true" ma:fieldsID="627ab78b03d224b463decbc86aa0602e" ns2:_="" ns3:_="">
    <xsd:import namespace="d405f711-27a4-4118-8bff-ddcc0a4d9588"/>
    <xsd:import namespace="dcb2a135-8946-42c8-a1f8-57cc60c9a0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f711-27a4-4118-8bff-ddcc0a4d95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ab33c151-32dd-4ffd-937f-05b04bd65b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2a135-8946-42c8-a1f8-57cc60c9a01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9691fba-4a5f-4c0a-97a3-dad54cfcc87e}" ma:internalName="TaxCatchAll" ma:showField="CatchAllData" ma:web="dcb2a135-8946-42c8-a1f8-57cc60c9a0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b2a135-8946-42c8-a1f8-57cc60c9a016" xsi:nil="true"/>
    <lcf76f155ced4ddcb4097134ff3c332f xmlns="d405f711-27a4-4118-8bff-ddcc0a4d9588">
      <Terms xmlns="http://schemas.microsoft.com/office/infopath/2007/PartnerControls"/>
    </lcf76f155ced4ddcb4097134ff3c332f>
  </documentManagement>
</p:properties>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E5411188-F486-497B-AFA2-9ECBC95BF634}">
  <ds:schemaRefs/>
</ds:datastoreItem>
</file>

<file path=customXml/itemProps2.xml><?xml version="1.0" encoding="utf-8"?>
<ds:datastoreItem xmlns:ds="http://schemas.openxmlformats.org/officeDocument/2006/customXml" ds:itemID="{BC1E6E75-3553-45D2-AF91-00609DEB04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531694-13AC-402B-97C7-5BA76F7F72F0}">
  <ds:schemaRefs/>
</ds:datastoreItem>
</file>

<file path=customXml/itemProps4.xml><?xml version="1.0" encoding="utf-8"?>
<ds:datastoreItem xmlns:ds="http://schemas.openxmlformats.org/officeDocument/2006/customXml" ds:itemID="{4B4B2CCA-C066-44B3-9A3E-51A0A4FAAA61}">
  <ds:schemaRefs/>
</ds:datastoreItem>
</file>

<file path=customXml/itemProps5.xml><?xml version="1.0" encoding="utf-8"?>
<ds:datastoreItem xmlns:ds="http://schemas.openxmlformats.org/officeDocument/2006/customXml" ds:itemID="{6AC8F98F-482A-4231-90C1-DB044BDF56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5f711-27a4-4118-8bff-ddcc0a4d9588"/>
    <ds:schemaRef ds:uri="dcb2a135-8946-42c8-a1f8-57cc60c9a0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47EE9911-1897-4A2B-80F2-1E2EEACE39F6}">
  <ds:schemaRefs/>
</ds:datastoreItem>
</file>

<file path=customXml/itemProps7.xml><?xml version="1.0" encoding="utf-8"?>
<ds:datastoreItem xmlns:ds="http://schemas.openxmlformats.org/officeDocument/2006/customXml" ds:itemID="{51BF496D-D594-4116-A933-B9E2CA630F9B}">
  <ds:schemaRefs/>
</ds:datastoreItem>
</file>

<file path=customXml/itemProps8.xml><?xml version="1.0" encoding="utf-8"?>
<ds:datastoreItem xmlns:ds="http://schemas.openxmlformats.org/officeDocument/2006/customXml" ds:itemID="{D3A4A432-34BE-42C7-A99B-939BF25940D8}">
  <ds:schemaRefs/>
</ds:datastoreItem>
</file>

<file path=customXml/itemProps9.xml><?xml version="1.0" encoding="utf-8"?>
<ds:datastoreItem xmlns:ds="http://schemas.openxmlformats.org/officeDocument/2006/customXml" ds:itemID="{627A2225-A561-4DBF-9746-469D2F76C2E7}">
  <ds:schemaRefs/>
</ds:datastoreItem>
</file>

<file path=customXml/itemProps10.xml><?xml version="1.0" encoding="utf-8"?>
<ds:datastoreItem xmlns:ds="http://schemas.openxmlformats.org/officeDocument/2006/customXml" ds:itemID="{91790DF6-0CAD-4B8F-9DCE-61ED0DD71BF1}">
  <ds:schemaRefs/>
</ds:datastoreItem>
</file>

<file path=customXml/itemProps11.xml><?xml version="1.0" encoding="utf-8"?>
<ds:datastoreItem xmlns:ds="http://schemas.openxmlformats.org/officeDocument/2006/customXml" ds:itemID="{77F0AF01-C2A8-4783-8D08-D6C3C55956D6}">
  <ds:schemaRefs/>
</ds:datastoreItem>
</file>

<file path=customXml/itemProps12.xml><?xml version="1.0" encoding="utf-8"?>
<ds:datastoreItem xmlns:ds="http://schemas.openxmlformats.org/officeDocument/2006/customXml" ds:itemID="{F23BDDB5-B7E4-40E0-A91E-7A4A97A86CBB}">
  <ds:schemaRefs/>
</ds:datastoreItem>
</file>

<file path=customXml/itemProps13.xml><?xml version="1.0" encoding="utf-8"?>
<ds:datastoreItem xmlns:ds="http://schemas.openxmlformats.org/officeDocument/2006/customXml" ds:itemID="{21783AC8-B443-40F6-950E-72D1894E50B7}">
  <ds:schemaRefs/>
</ds:datastoreItem>
</file>

<file path=customXml/itemProps14.xml><?xml version="1.0" encoding="utf-8"?>
<ds:datastoreItem xmlns:ds="http://schemas.openxmlformats.org/officeDocument/2006/customXml" ds:itemID="{C895020B-555D-4AC9-BA15-CF525FF33509}">
  <ds:schemaRefs/>
</ds:datastoreItem>
</file>

<file path=customXml/itemProps15.xml><?xml version="1.0" encoding="utf-8"?>
<ds:datastoreItem xmlns:ds="http://schemas.openxmlformats.org/officeDocument/2006/customXml" ds:itemID="{11A76999-5CEC-4CCC-8E81-D253030DB784}">
  <ds:schemaRefs/>
</ds:datastoreItem>
</file>

<file path=customXml/itemProps16.xml><?xml version="1.0" encoding="utf-8"?>
<ds:datastoreItem xmlns:ds="http://schemas.openxmlformats.org/officeDocument/2006/customXml" ds:itemID="{8FBAFBBF-E6FB-4830-B74E-486210546A02}">
  <ds:schemaRefs/>
</ds:datastoreItem>
</file>

<file path=customXml/itemProps17.xml><?xml version="1.0" encoding="utf-8"?>
<ds:datastoreItem xmlns:ds="http://schemas.openxmlformats.org/officeDocument/2006/customXml" ds:itemID="{9969762A-01A9-466C-B012-4A23CA0F4584}">
  <ds:schemaRefs/>
</ds:datastoreItem>
</file>

<file path=customXml/itemProps18.xml><?xml version="1.0" encoding="utf-8"?>
<ds:datastoreItem xmlns:ds="http://schemas.openxmlformats.org/officeDocument/2006/customXml" ds:itemID="{BE567EA7-9DAE-4D58-8874-74444217690B}">
  <ds:schemaRefs/>
</ds:datastoreItem>
</file>

<file path=customXml/itemProps19.xml><?xml version="1.0" encoding="utf-8"?>
<ds:datastoreItem xmlns:ds="http://schemas.openxmlformats.org/officeDocument/2006/customXml" ds:itemID="{9B2495A3-7A0C-494C-A800-E252F15B11A4}">
  <ds:schemaRefs/>
</ds:datastoreItem>
</file>

<file path=customXml/itemProps20.xml><?xml version="1.0" encoding="utf-8"?>
<ds:datastoreItem xmlns:ds="http://schemas.openxmlformats.org/officeDocument/2006/customXml" ds:itemID="{DECE9EDF-EA6A-441A-B802-08648DEBAA12}">
  <ds:schemaRefs>
    <ds:schemaRef ds:uri="http://schemas.microsoft.com/office/2006/metadata/properties"/>
    <ds:schemaRef ds:uri="http://schemas.microsoft.com/office/infopath/2007/PartnerControls"/>
    <ds:schemaRef ds:uri="dcb2a135-8946-42c8-a1f8-57cc60c9a016"/>
    <ds:schemaRef ds:uri="d405f711-27a4-4118-8bff-ddcc0a4d9588"/>
  </ds:schemaRefs>
</ds:datastoreItem>
</file>

<file path=customXml/itemProps21.xml><?xml version="1.0" encoding="utf-8"?>
<ds:datastoreItem xmlns:ds="http://schemas.openxmlformats.org/officeDocument/2006/customXml" ds:itemID="{F4E92679-4C1C-4482-9A68-68F9D3F1BF8F}">
  <ds:schemaRefs>
    <ds:schemaRef ds:uri="http://schemas.microsoft.com/DataMashup"/>
  </ds:schemaRefs>
</ds:datastoreItem>
</file>

<file path=customXml/itemProps22.xml><?xml version="1.0" encoding="utf-8"?>
<ds:datastoreItem xmlns:ds="http://schemas.openxmlformats.org/officeDocument/2006/customXml" ds:itemID="{88183FAE-E842-4C03-8154-5DC7957FCD99}">
  <ds:schemaRefs/>
</ds:datastoreItem>
</file>

<file path=docMetadata/LabelInfo.xml><?xml version="1.0" encoding="utf-8"?>
<clbl:labelList xmlns:clbl="http://schemas.microsoft.com/office/2020/mipLabelMetadata">
  <clbl:label id="{9bf40b48-1b4e-4bc3-908f-57822989a344}" enabled="1" method="Privileged" siteId="{9e2bf04f-4ffe-4c90-a4d7-408b343352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Sheet1</vt:lpstr>
      <vt:lpstr>Laptop_List</vt:lpstr>
      <vt:lpstr>Printer</vt:lpstr>
      <vt:lpstr>costcenter</vt:lpstr>
      <vt:lpstr>Monitor_List</vt:lpstr>
      <vt:lpstr>SAP_Account</vt:lpstr>
      <vt:lpstr>Assesory_other</vt:lpstr>
      <vt:lpstr>MS-TEAM Number</vt:lpstr>
      <vt:lpstr>Laptop_List!Print_Area</vt:lpstr>
    </vt:vector>
  </TitlesOfParts>
  <Manager/>
  <Company>Herrenknecht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Dhanusri, Insupang</dc:creator>
  <cp:keywords/>
  <dc:description/>
  <cp:lastModifiedBy>Thongyam, Supawat</cp:lastModifiedBy>
  <cp:revision/>
  <dcterms:created xsi:type="dcterms:W3CDTF">2023-02-20T03:48:56Z</dcterms:created>
  <dcterms:modified xsi:type="dcterms:W3CDTF">2026-05-13T01:38:53Z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f40b48-1b4e-4bc3-908f-57822989a344_Enabled">
    <vt:lpwstr>true</vt:lpwstr>
  </property>
  <property fmtid="{D5CDD505-2E9C-101B-9397-08002B2CF9AE}" pid="3" name="MSIP_Label_9bf40b48-1b4e-4bc3-908f-57822989a344_SetDate">
    <vt:lpwstr>2023-04-19T11:48:24Z</vt:lpwstr>
  </property>
  <property fmtid="{D5CDD505-2E9C-101B-9397-08002B2CF9AE}" pid="4" name="MSIP_Label_9bf40b48-1b4e-4bc3-908f-57822989a344_Method">
    <vt:lpwstr>Privileged</vt:lpwstr>
  </property>
  <property fmtid="{D5CDD505-2E9C-101B-9397-08002B2CF9AE}" pid="5" name="MSIP_Label_9bf40b48-1b4e-4bc3-908f-57822989a344_Name">
    <vt:lpwstr>Internal</vt:lpwstr>
  </property>
  <property fmtid="{D5CDD505-2E9C-101B-9397-08002B2CF9AE}" pid="6" name="MSIP_Label_9bf40b48-1b4e-4bc3-908f-57822989a344_SiteId">
    <vt:lpwstr>9e2bf04f-4ffe-4c90-a4d7-408b3433529d</vt:lpwstr>
  </property>
  <property fmtid="{D5CDD505-2E9C-101B-9397-08002B2CF9AE}" pid="7" name="MSIP_Label_9bf40b48-1b4e-4bc3-908f-57822989a344_ActionId">
    <vt:lpwstr>f57140ff-ff97-4817-8087-59b4af7dc831</vt:lpwstr>
  </property>
  <property fmtid="{D5CDD505-2E9C-101B-9397-08002B2CF9AE}" pid="8" name="MSIP_Label_9bf40b48-1b4e-4bc3-908f-57822989a344_ContentBits">
    <vt:lpwstr>0</vt:lpwstr>
  </property>
  <property fmtid="{D5CDD505-2E9C-101B-9397-08002B2CF9AE}" pid="9" name="CustomUiType">
    <vt:lpwstr>2</vt:lpwstr>
  </property>
  <property fmtid="{D5CDD505-2E9C-101B-9397-08002B2CF9AE}" pid="10" name="ContentTypeId">
    <vt:lpwstr>0x0101007ADE38540ACBDB4998D18D36B2ECBC82</vt:lpwstr>
  </property>
  <property fmtid="{D5CDD505-2E9C-101B-9397-08002B2CF9AE}" pid="11" name="MediaServiceImageTags">
    <vt:lpwstr/>
  </property>
  <property fmtid="{D5CDD505-2E9C-101B-9397-08002B2CF9AE}" pid="12" name="BExAnalyzer_OldName">
    <vt:lpwstr>HAT hardware_v3_oat.xlsx</vt:lpwstr>
  </property>
  <property fmtid="{D5CDD505-2E9C-101B-9397-08002B2CF9AE}" pid="13" name="dofficeID">
    <vt:lpwstr>{158F977A-5638-4C8F-9B06-F8CEF6F27C16}</vt:lpwstr>
  </property>
</Properties>
</file>